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3145aa8dbf4e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2be73c38c35746a0"/>
    <x:sheet xmlns:r="http://schemas.openxmlformats.org/officeDocument/2006/relationships" name="Portfolio Summary" sheetId="2" r:id="Rbbfc9e3829394197"/>
    <x:sheet xmlns:r="http://schemas.openxmlformats.org/officeDocument/2006/relationships" name="VaR" sheetId="3" r:id="Re5e9334722124755"/>
    <x:sheet xmlns:r="http://schemas.openxmlformats.org/officeDocument/2006/relationships" name="Expected Shortfall" sheetId="4" r:id="R5e927ece29dc4c5b"/>
    <x:sheet xmlns:r="http://schemas.openxmlformats.org/officeDocument/2006/relationships" name="Fixed Income" sheetId="5" r:id="R49d92645990847ca"/>
    <x:sheet xmlns:r="http://schemas.openxmlformats.org/officeDocument/2006/relationships" name="Risk Contribution" sheetId="6" r:id="R81dfb3edb02b40f6"/>
    <x:sheet xmlns:r="http://schemas.openxmlformats.org/officeDocument/2006/relationships" name="Stress Tests" sheetId="7" r:id="R0963f95d7d30456e"/>
    <x:sheet xmlns:r="http://schemas.openxmlformats.org/officeDocument/2006/relationships" name="Yield Curve" sheetId="8" r:id="Rd071504f1c294f20"/>
    <x:sheet xmlns:r="http://schemas.openxmlformats.org/officeDocument/2006/relationships" name="Risk Attribution" sheetId="9" r:id="Rce0f74aaa3c94aef"/>
    <x:sheet xmlns:r="http://schemas.openxmlformats.org/officeDocument/2006/relationships" name="Data Quality" sheetId="10" r:id="R0558db1b1e2441f9"/>
    <x:sheet xmlns:r="http://schemas.openxmlformats.org/officeDocument/2006/relationships" name="Positions" sheetId="11" r:id="R978fadbff24c4d31"/>
    <x:sheet xmlns:r="http://schemas.openxmlformats.org/officeDocument/2006/relationships" name="Trades" sheetId="12" r:id="R11eec6a7f1bd434b"/>
    <x:sheet xmlns:r="http://schemas.openxmlformats.org/officeDocument/2006/relationships" name="Security Master" sheetId="13" r:id="R1187e6d2b4f94c1d"/>
    <x:sheet xmlns:r="http://schemas.openxmlformats.org/officeDocument/2006/relationships" name="Market Data" sheetId="14" r:id="Rce389c2a10ce454c"/>
    <x:sheet xmlns:r="http://schemas.openxmlformats.org/officeDocument/2006/relationships" name="Daily Report" sheetId="15" r:id="Rd377e6fee9044853"/>
    <x:sheet xmlns:r="http://schemas.openxmlformats.org/officeDocument/2006/relationships" name="Checks" sheetId="16" r:id="R5d67f8521807485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#,##0.00;(#,##0.00);&quot;—&quot;"/>
    <x:numFmt numFmtId="201" formatCode="yyyy-mm-dd"/>
    <x:numFmt numFmtId="202" formatCode="0.0%"/>
    <x:numFmt numFmtId="203" formatCode="#,##0;(#,##0);&quot;—&quot;"/>
    <x:numFmt numFmtId="204" formatCode="0%"/>
    <x:numFmt numFmtId="205" formatCode="0.00%"/>
    <x:numFmt numFmtId="206" formatCode="0.00"/>
  </x:numFmts>
  <x:fonts count="6">
    <x:font>
      <x:sz val="11"/>
      <x:name val="Carlito"/>
    </x:font>
    <x:font>
      <x:sz val="10"/>
      <x:color rgb="FF263D5A"/>
      <x:name val="Arial"/>
    </x:font>
    <x:font>
      <x:b/>
      <x:sz val="15"/>
      <x:color rgb="FF263D5A"/>
      <x:name val="Arial"/>
    </x:font>
    <x:font>
      <x:b/>
      <x:sz val="10"/>
      <x:color rgb="FFFFFFFF"/>
      <x:name val="Arial"/>
    </x:font>
    <x:font>
      <x:sz val="10"/>
      <x:color rgb="FF215CC4"/>
      <x:name val="Arial"/>
    </x:font>
    <x:font>
      <x:sz val="10"/>
      <x:color rgb="FF26805E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63D5A"/>
      </x:patternFill>
    </x:fill>
  </x:fills>
  <x:borders count="1">
    <x:border/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0" fontId="4" fillId="0" borderId="0" xfId="0" applyNumberFormat="1" applyFont="1" applyFill="1" applyBorder="1"/>
    <x:xf numFmtId="200" fontId="5" fillId="0" borderId="0" xfId="0" applyNumberFormat="1" applyFont="1" applyFill="1" applyBorder="1"/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205" fontId="1" fillId="0" borderId="0" xfId="0" applyNumberFormat="1" applyFont="1" applyFill="1" applyBorder="1"/>
    <x:xf numFmtId="200" fontId="0" fillId="0" borderId="0" xfId="0" applyNumberFormat="1" applyFont="1" applyFill="1" applyBorder="1"/>
    <x:xf numFmtId="206" fontId="1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A42525"/>
      </x:font>
      <x:fill>
        <x:patternFill patternType="solid">
          <x:bgColor rgb="FFFCE5E3"/>
        </x:patternFill>
      </x:fill>
    </x:dxf>
    <x:dxf>
      <x:font>
        <x:color rgb="FF805C13"/>
      </x:font>
      <x:fill>
        <x:patternFill patternType="solid">
          <x:bgColor rgb="FFFFF0CC"/>
        </x:patternFill>
      </x:fill>
    </x:dxf>
    <x:dxf>
      <x:font>
        <x:b/>
        <x:color rgb="FFA42525"/>
      </x:font>
      <x:fill>
        <x:patternFill patternType="solid">
          <x:bgColor rgb="FFFCE5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7df0133a39e4523" /><Relationship Type="http://schemas.openxmlformats.org/officeDocument/2006/relationships/theme" Target="/xl/theme/theme1.xml" Id="R7ee792711caf4b47" /><Relationship Type="http://schemas.openxmlformats.org/officeDocument/2006/relationships/sharedStrings" Target="/xl/sharedStrings.xml" Id="R01f29bd7bbc640f3" /><Relationship Type="http://schemas.openxmlformats.org/officeDocument/2006/relationships/worksheet" Target="/xl/worksheets/sheet1.xml" Id="R2be73c38c35746a0" /><Relationship Type="http://schemas.openxmlformats.org/officeDocument/2006/relationships/worksheet" Target="/xl/worksheets/sheet2.xml" Id="Rbbfc9e3829394197" /><Relationship Type="http://schemas.openxmlformats.org/officeDocument/2006/relationships/worksheet" Target="/xl/worksheets/sheet3.xml" Id="Re5e9334722124755" /><Relationship Type="http://schemas.openxmlformats.org/officeDocument/2006/relationships/worksheet" Target="/xl/worksheets/sheet4.xml" Id="R5e927ece29dc4c5b" /><Relationship Type="http://schemas.openxmlformats.org/officeDocument/2006/relationships/worksheet" Target="/xl/worksheets/sheet5.xml" Id="R49d92645990847ca" /><Relationship Type="http://schemas.openxmlformats.org/officeDocument/2006/relationships/worksheet" Target="/xl/worksheets/sheet6.xml" Id="R81dfb3edb02b40f6" /><Relationship Type="http://schemas.openxmlformats.org/officeDocument/2006/relationships/worksheet" Target="/xl/worksheets/sheet7.xml" Id="R0963f95d7d30456e" /><Relationship Type="http://schemas.openxmlformats.org/officeDocument/2006/relationships/worksheet" Target="/xl/worksheets/sheet8.xml" Id="Rd071504f1c294f20" /><Relationship Type="http://schemas.openxmlformats.org/officeDocument/2006/relationships/worksheet" Target="/xl/worksheets/sheet9.xml" Id="Rce0f74aaa3c94aef" /><Relationship Type="http://schemas.openxmlformats.org/officeDocument/2006/relationships/worksheet" Target="/xl/worksheets/sheet10.xml" Id="R0558db1b1e2441f9" /><Relationship Type="http://schemas.openxmlformats.org/officeDocument/2006/relationships/worksheet" Target="/xl/worksheets/sheet11.xml" Id="R978fadbff24c4d31" /><Relationship Type="http://schemas.openxmlformats.org/officeDocument/2006/relationships/worksheet" Target="/xl/worksheets/sheet12.xml" Id="R11eec6a7f1bd434b" /><Relationship Type="http://schemas.openxmlformats.org/officeDocument/2006/relationships/worksheet" Target="/xl/worksheets/sheet13.xml" Id="R1187e6d2b4f94c1d" /><Relationship Type="http://schemas.openxmlformats.org/officeDocument/2006/relationships/worksheet" Target="/xl/worksheets/sheet14.xml" Id="Rce389c2a10ce454c" /><Relationship Type="http://schemas.openxmlformats.org/officeDocument/2006/relationships/worksheet" Target="/xl/worksheets/sheet15.xml" Id="Rd377e6fee9044853" /><Relationship Type="http://schemas.openxmlformats.org/officeDocument/2006/relationships/worksheet" Target="/xl/worksheets/sheet16.xml" Id="R5d67f8521807485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88f670d49894ab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Asset allocation (CAD millions)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Series 1</c:v>
          </c:tx>
          <c:cat>
            <c:strRef>
              <c:f>'Portfolio Summary'!$A$10:$A$15</c:f>
              <c:strCache>
                <c:ptCount val="0"/>
              </c:strCache>
            </c:strRef>
          </c:cat>
          <c:val>
            <c:numRef>
              <c:f>'Portfolio Summary'!$B$10:$B$15</c:f>
              <c:numCache>
                <c:formatCode>#,##0;(#,##0);"—"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,,&quot;m&quot;" sourceLinked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4</xdr:row>
      <xdr:rowOff>0</xdr:rowOff>
    </xdr:from>
    <xdr:to>
      <xdr:col>12</xdr:col>
      <xdr:colOff>0</xdr:colOff>
      <xdr:row>21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88f670d49894ab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overTable" displayName="CoverTable" ref="A5:B13" headerRowCount="1" totalsRowCount="0" totalsRowShown="0">
  <x:tableColumns count="2">
    <x:tableColumn id="1" name="Report"/>
    <x:tableColumn id="2" name="Valu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PortfolioSummaryTable" displayName="PortfolioSummaryTable" ref="A5:B15" headerRowCount="1" totalsRowCount="0" totalsRowShown="0">
  <x:tableColumns count="2">
    <x:tableColumn id="1" name="Measure"/>
    <x:tableColumn id="2" name="CA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VaRTable" displayName="VaRTable" ref="A5:D11" headerRowCount="1" totalsRowCount="0" totalsRowShown="0">
  <x:tableColumns count="4">
    <x:tableColumn id="1" name="Method"/>
    <x:tableColumn id="2" name="Confidence"/>
    <x:tableColumn id="3" name="Horizon (days)"/>
    <x:tableColumn id="4" name="VaR (CAD)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ExpectedShortfallTable" displayName="ExpectedShortfallTable" ref="A5:C11" headerRowCount="1" totalsRowCount="0" totalsRowShown="0">
  <x:tableColumns count="3">
    <x:tableColumn id="1" name="Method"/>
    <x:tableColumn id="2" name="Confidence"/>
    <x:tableColumn id="3" name="ES (CAD)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ixedIncomeTable" displayName="FixedIncomeTable" ref="A5:H7" headerRowCount="1" totalsRowCount="0" totalsRowShown="0">
  <x:tableColumns count="8">
    <x:tableColumn id="1" name="Security"/>
    <x:tableColumn id="2" name="Dirty price"/>
    <x:tableColumn id="3" name="Clean price"/>
    <x:tableColumn id="4" name="YTM"/>
    <x:tableColumn id="5" name="Macaulay (yr)"/>
    <x:tableColumn id="6" name="Modified (yr)"/>
    <x:tableColumn id="7" name="Convexity (yr²)"/>
    <x:tableColumn id="8" name="DV01 (CAD/bp)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RiskContributionTable" displayName="RiskContributionTable" ref="A5:G13" headerRowCount="1" totalsRowCount="0" totalsRowShown="0">
  <x:tableColumns count="7">
    <x:tableColumn id="1" name="Security"/>
    <x:tableColumn id="2" name="Component VaR (CAD)"/>
    <x:tableColumn id="3" name="Marginal VaR (CAD/unit)"/>
    <x:tableColumn id="4" name="Standalone VaR (CAD)"/>
    <x:tableColumn id="5" name="Asset class"/>
    <x:tableColumn id="6" name="Currency"/>
    <x:tableColumn id="7" name="Sector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8" name="StressTestsTable" displayName="StressTestsTable" ref="A5:D45" headerRowCount="1" totalsRowCount="0" totalsRowShown="0">
  <x:tableColumns count="4">
    <x:tableColumn id="1" name="Scenario"/>
    <x:tableColumn id="2" name="Security"/>
    <x:tableColumn id="3" name="Asset class"/>
    <x:tableColumn id="4" name="P&amp;L (CAD)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9" name="YieldCurveTable" displayName="YieldCurveTable" ref="A5:E13" headerRowCount="1" totalsRowCount="0" totalsRowShown="0">
  <x:tableColumns count="5">
    <x:tableColumn id="1" name="Scenario"/>
    <x:tableColumn id="2" name="Security"/>
    <x:tableColumn id="3" name="Full P&amp;L (CAD)"/>
    <x:tableColumn id="4" name="Linear P&amp;L (CAD)"/>
    <x:tableColumn id="5" name="Nonlinear differenc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10" name="RiskAttributionTable" displayName="RiskAttributionTable" ref="A5:C16" headerRowCount="1" totalsRowCount="0" totalsRowShown="0">
  <x:tableColumns count="3">
    <x:tableColumn id="1" name="Driver"/>
    <x:tableColumn id="2" name="Allocated change (CAD)"/>
    <x:tableColumn id="3" name="Standalone change (CAD)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1" name="DataQualityTable" displayName="DataQualityTable" ref="A5:E26" headerRowCount="1" totalsRowCount="0" totalsRowShown="0">
  <x:tableColumns count="5">
    <x:tableColumn id="1" name="Check"/>
    <x:tableColumn id="2" name="Severity"/>
    <x:tableColumn id="3" name="Record"/>
    <x:tableColumn id="4" name="Description"/>
    <x:tableColumn id="5" name="Action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2" name="PositionsTable" displayName="PositionsTable" ref="A5:I13" headerRowCount="1" totalsRowCount="0" totalsRowShown="0">
  <x:tableColumns count="9">
    <x:tableColumn id="1" name="Security"/>
    <x:tableColumn id="2" name="Quantity"/>
    <x:tableColumn id="3" name="Local price"/>
    <x:tableColumn id="4" name="Multiplier"/>
    <x:tableColumn id="5" name="FX to CAD"/>
    <x:tableColumn id="6" name="Market value"/>
    <x:tableColumn id="7" name="Weight"/>
    <x:tableColumn id="8" name="Asset class"/>
    <x:tableColumn id="9" name="Currency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TradesTable" displayName="TradesTable" ref="A5:H16" headerRowCount="1" totalsRowCount="0" totalsRowShown="0">
  <x:tableColumns count="8">
    <x:tableColumn id="1" name="Trade ID"/>
    <x:tableColumn id="2" name="Security"/>
    <x:tableColumn id="3" name="Trade date"/>
    <x:tableColumn id="4" name="Settlement date"/>
    <x:tableColumn id="5" name="Quantity"/>
    <x:tableColumn id="6" name="Price"/>
    <x:tableColumn id="7" name="Currency"/>
    <x:tableColumn id="8" name="Type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SecurityMasterTable" displayName="SecurityMasterTable" ref="A5:K13" headerRowCount="1" totalsRowCount="0" totalsRowShown="0">
  <x:tableColumns count="11">
    <x:tableColumn id="1" name="Security"/>
    <x:tableColumn id="2" name="Name"/>
    <x:tableColumn id="3" name="Type"/>
    <x:tableColumn id="4" name="Asset class"/>
    <x:tableColumn id="5" name="Currency"/>
    <x:tableColumn id="6" name="Maturity"/>
    <x:tableColumn id="7" name="Coupon"/>
    <x:tableColumn id="8" name="Frequency"/>
    <x:tableColumn id="9" name="Face"/>
    <x:tableColumn id="10" name="Multiplier"/>
    <x:tableColumn id="11" name="Rating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MarketDataTable" displayName="MarketDataTable" ref="A5:F1304" headerRowCount="1" totalsRowCount="0" totalsRowShown="0">
  <x:tableColumns count="6">
    <x:tableColumn id="1" name="Date"/>
    <x:tableColumn id="2" name="Security"/>
    <x:tableColumn id="3" name="Local price"/>
    <x:tableColumn id="4" name="Adjusted price"/>
    <x:tableColumn id="5" name="Source"/>
    <x:tableColumn id="6" name="Retrieved at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DailyReportTable" displayName="DailyReportTable" ref="A5:B16" headerRowCount="1" totalsRowCount="0" totalsRowShown="0">
  <x:tableColumns count="2">
    <x:tableColumn id="1" name="Topic"/>
    <x:tableColumn id="2" name="Method / assumption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ChecksTable" displayName="ChecksTable" ref="A5:D9" headerRowCount="1" totalsRowCount="0" totalsRowShown="0">
  <x:tableColumns count="4">
    <x:tableColumn id="1" name="Check"/>
    <x:tableColumn id="2" name="Difference"/>
    <x:tableColumn id="3" name="Tolerance"/>
    <x:tableColumn id="4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00b2cb9ae514e3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73b84200f9c24a6f" /><Relationship Type="http://schemas.openxmlformats.org/officeDocument/2006/relationships/table" Target="/xl/tables/table2.xml" Id="Rca7a7bea32584ae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8519039a8e341b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f47b812354e413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4784d7016b8946d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1e9554b68f624c0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0cfb33318f7d484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9a58b8fe059a410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1bd3142ff052418c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55c33d6bc3664b4e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9d55113e920e403c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68d182e46c6c422f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7577e89749d14c80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5f1ae1710d184640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5.xml" Id="Rffdd7d0810b7402c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6.xml" Id="Rc9350b7f8a324d5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78" hidden="0" customWidth="1"/>
  </x:cols>
  <x:sheetData>
    <x:row r="1">
      <x:c r="A1" s="1"/>
      <x:c r="B1" s="1"/>
    </x:row>
    <x:row r="2">
      <x:c r="A2" s="2" t="str">
        <x:v>Institutional portfolio risk</x:v>
      </x:c>
      <x:c r="B2" s="1"/>
    </x:row>
    <x:row r="3">
      <x:c r="A3" s="1" t="str">
        <x:v>2026-08-31 · CAD · Contains synthetic teaching data</x:v>
      </x:c>
      <x:c r="B3" s="1"/>
    </x:row>
    <x:row r="4">
      <x:c r="A4" s="1"/>
      <x:c r="B4" s="1"/>
    </x:row>
    <x:row r="5" ht="34" customHeight="1">
      <x:c r="A5" s="6" t="str">
        <x:v>Report</x:v>
      </x:c>
      <x:c r="B5" s="6" t="str">
        <x:v>Value</x:v>
      </x:c>
    </x:row>
    <x:row r="6" ht="22" customHeight="1">
      <x:c r="A6" s="7" t="str">
        <x:v>Portfolio</x:v>
      </x:c>
      <x:c r="B6" s="7" t="str">
        <x:v>DEMO</x:v>
      </x:c>
    </x:row>
    <x:row r="7" ht="22" customHeight="1">
      <x:c r="A7" s="7" t="str">
        <x:v>As of</x:v>
      </x:c>
      <x:c r="B7" s="8" t="n">
        <x:v>46265</x:v>
      </x:c>
    </x:row>
    <x:row r="8" ht="22" customHeight="1">
      <x:c r="A8" s="7" t="str">
        <x:v>Base currency</x:v>
      </x:c>
      <x:c r="B8" s="7" t="str">
        <x:v>CAD</x:v>
      </x:c>
    </x:row>
    <x:row r="9" ht="22" customHeight="1">
      <x:c r="A9" s="7" t="str">
        <x:v>Data</x:v>
      </x:c>
      <x:c r="B9" s="7" t="str">
        <x:v>Contains synthetic teaching data</x:v>
      </x:c>
    </x:row>
    <x:row r="10" ht="22" customHeight="1">
      <x:c r="A10" s="7" t="str">
        <x:v>One-day risk horizon</x:v>
      </x:c>
      <x:c r="B10" s="7" t="str">
        <x:v>95% and 99% confidence</x:v>
      </x:c>
    </x:row>
    <x:row r="11" ht="22" customHeight="1">
      <x:c r="A11" s="7" t="str">
        <x:v>Calibration observations</x:v>
      </x:c>
      <x:c r="B11" s="7" t="n">
        <x:v>252</x:v>
      </x:c>
    </x:row>
    <x:row r="12" ht="22" customHeight="1">
      <x:c r="A12" s="7" t="str">
        <x:v>Refresh</x:v>
      </x:c>
      <x:c r="B12" s="7" t="str">
        <x:v>python main.py demo --excel</x:v>
      </x:c>
    </x:row>
    <x:row r="13" ht="22" customHeight="1">
      <x:c r="A13" s="7" t="str">
        <x:v>Risk snapshots</x:v>
      </x:c>
      <x:c r="B13" s="7" t="str">
        <x:v>Re-run Python after changing holdings or market data</x:v>
      </x:c>
    </x:row>
  </x:sheetData>
  <x:pageMargins left="0.7" right="0.7" top="0.75" bottom="0.75" header="0.3" footer="0.3"/>
  <x:tableParts count="1">
    <x:tablePart xmlns:r="http://schemas.openxmlformats.org/officeDocument/2006/relationships" r:id="R100b2cb9ae514e3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3" hidden="0" customWidth="1"/>
  </x:cols>
  <x:sheetData>
    <x:row r="1">
      <x:c r="A1" s="1"/>
      <x:c r="B1" s="1"/>
    </x:row>
    <x:row r="2">
      <x:c r="A2" s="2" t="str">
        <x:v>Portfolio summary</x:v>
      </x:c>
      <x:c r="B2" s="1"/>
    </x:row>
    <x:row r="3">
      <x:c r="A3" s="1" t="str">
        <x:v>2026-08-31 · CAD · Contains synthetic teaching data</x:v>
      </x:c>
      <x:c r="B3" s="1"/>
    </x:row>
    <x:row r="4">
      <x:c r="A4" s="1"/>
      <x:c r="B4" s="1"/>
    </x:row>
    <x:row r="5" ht="34" customHeight="1">
      <x:c r="A5" s="6" t="str">
        <x:v>Measure</x:v>
      </x:c>
      <x:c r="B5" s="6" t="str">
        <x:v>CAD</x:v>
      </x:c>
    </x:row>
    <x:row r="6" ht="22" customHeight="1">
      <x:c r="A6" s="7" t="str">
        <x:v>Net asset value</x:v>
      </x:c>
      <x:c r="B6" s="12" t="n">
        <x:f>SUM('Positions'!F6:F13)</x:f>
        <x:v>101390515.86574185</x:v>
      </x:c>
    </x:row>
    <x:row r="7" ht="22" customHeight="1">
      <x:c r="A7" s="7" t="str">
        <x:v>Prior NAV</x:v>
      </x:c>
      <x:c r="B7" s="12" t="n">
        <x:v>101660737.28656673</x:v>
      </x:c>
    </x:row>
    <x:row r="8" ht="22" customHeight="1">
      <x:c r="A8" s="7" t="str">
        <x:v>External flows</x:v>
      </x:c>
      <x:c r="B8" s="12" t="n">
        <x:v>0</x:v>
      </x:c>
    </x:row>
    <x:row r="9" ht="22" customHeight="1">
      <x:c r="A9" s="7" t="str">
        <x:v>Flow-adjusted daily P&amp;L</x:v>
      </x:c>
      <x:c r="B9" s="12" t="n">
        <x:f>B6-B7-B8</x:f>
        <x:v>-270221.42082488537</x:v>
      </x:c>
    </x:row>
    <x:row r="10" ht="22" customHeight="1">
      <x:c r="A10" s="7" t="str">
        <x:v>Cash</x:v>
      </x:c>
      <x:c r="B10" s="12" t="n">
        <x:f>SUMIFS('Positions'!$F$6:$F$13,'Positions'!$H$6:$H$13,A10)</x:f>
        <x:v>9305000</x:v>
      </x:c>
    </x:row>
    <x:row r="11" ht="22" customHeight="1">
      <x:c r="A11" s="7" t="str">
        <x:v>Corporate bond</x:v>
      </x:c>
      <x:c r="B11" s="12" t="n">
        <x:f>SUMIFS('Positions'!$F$6:$F$13,'Positions'!$H$6:$H$13,A11)</x:f>
        <x:v>12171761.644919999</x:v>
      </x:c>
    </x:row>
    <x:row r="12" ht="22" customHeight="1">
      <x:c r="A12" s="7" t="str">
        <x:v>Equity</x:v>
      </x:c>
      <x:c r="B12" s="12" t="n">
        <x:f>SUMIFS('Positions'!$F$6:$F$13,'Positions'!$H$6:$H$13,A12)</x:f>
        <x:v>48900000</x:v>
      </x:c>
    </x:row>
    <x:row r="13" ht="22" customHeight="1">
      <x:c r="A13" s="7" t="str">
        <x:v>Government bond</x:v>
      </x:c>
      <x:c r="B13" s="12" t="n">
        <x:f>SUMIFS('Positions'!$F$6:$F$13,'Positions'!$H$6:$H$13,A13)</x:f>
        <x:v>22330903.001571998</x:v>
      </x:c>
    </x:row>
    <x:row r="14" ht="22" customHeight="1">
      <x:c r="A14" s="7" t="str">
        <x:v>Option</x:v>
      </x:c>
      <x:c r="B14" s="12" t="n">
        <x:f>SUMIFS('Positions'!$F$6:$F$13,'Positions'!$H$6:$H$13,A14)</x:f>
        <x:v>284851.21924984</x:v>
      </x:c>
    </x:row>
    <x:row r="15" ht="22" customHeight="1">
      <x:c r="A15" s="7" t="str">
        <x:v>Fixed income ETF</x:v>
      </x:c>
      <x:c r="B15" s="12" t="n">
        <x:f>SUMIFS('Positions'!$F$6:$F$13,'Positions'!$H$6:$H$13,A15)</x:f>
        <x:v>8398000</x:v>
      </x:c>
    </x:row>
  </x:sheetData>
  <x:pageMargins left="0.7" right="0.7" top="0.75" bottom="0.75" header="0.3" footer="0.3"/>
  <x:drawing xmlns:r="http://schemas.openxmlformats.org/officeDocument/2006/relationships" r:id="R73b84200f9c24a6f"/>
  <x:tableParts count="1">
    <x:tablePart xmlns:r="http://schemas.openxmlformats.org/officeDocument/2006/relationships" r:id="Rca7a7bea32584ae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9" hidden="0" customWidth="1"/>
    <x:col min="4" max="4" width="24" hidden="0" customWidth="1"/>
  </x:cols>
  <x:sheetData>
    <x:row r="1">
      <x:c r="A1" s="1"/>
      <x:c r="B1" s="1"/>
      <x:c r="C1" s="1"/>
      <x:c r="D1" s="1"/>
    </x:row>
    <x:row r="2">
      <x:c r="A2" s="2" t="str">
        <x:v>One-day Value at Risk</x:v>
      </x:c>
      <x:c r="B2" s="1"/>
      <x:c r="C2" s="1"/>
      <x:c r="D2" s="1"/>
    </x:row>
    <x:row r="3">
      <x:c r="A3" s="1" t="str">
        <x:v>2026-08-31 · CAD · Contains synthetic teaching data</x:v>
      </x:c>
      <x:c r="B3" s="1"/>
      <x:c r="C3" s="1"/>
      <x:c r="D3" s="1"/>
    </x:row>
    <x:row r="4">
      <x:c r="A4" s="1"/>
      <x:c r="B4" s="1"/>
      <x:c r="C4" s="1"/>
      <x:c r="D4" s="1"/>
    </x:row>
    <x:row r="5" ht="34" customHeight="1">
      <x:c r="A5" s="6" t="str">
        <x:v>Method</x:v>
      </x:c>
      <x:c r="B5" s="6" t="str">
        <x:v>Confidence</x:v>
      </x:c>
      <x:c r="C5" s="6" t="str">
        <x:v>Horizon (days)</x:v>
      </x:c>
      <x:c r="D5" s="6" t="str">
        <x:v>VaR (CAD)</x:v>
      </x:c>
    </x:row>
    <x:row r="6" ht="22" customHeight="1">
      <x:c r="A6" s="7" t="str">
        <x:v>Historical</x:v>
      </x:c>
      <x:c r="B6" s="13" t="n">
        <x:v>0.95</x:v>
      </x:c>
      <x:c r="C6" s="7" t="n">
        <x:v>1</x:v>
      </x:c>
      <x:c r="D6" s="12" t="n">
        <x:v>959458.9297634502</x:v>
      </x:c>
    </x:row>
    <x:row r="7" ht="22" customHeight="1">
      <x:c r="A7" s="7" t="str">
        <x:v>Parametric</x:v>
      </x:c>
      <x:c r="B7" s="13" t="n">
        <x:v>0.95</x:v>
      </x:c>
      <x:c r="C7" s="7" t="n">
        <x:v>1</x:v>
      </x:c>
      <x:c r="D7" s="12" t="n">
        <x:v>958039.7311523017</x:v>
      </x:c>
    </x:row>
    <x:row r="8" ht="22" customHeight="1">
      <x:c r="A8" s="7" t="str">
        <x:v>Monte Carlo</x:v>
      </x:c>
      <x:c r="B8" s="13" t="n">
        <x:v>0.95</x:v>
      </x:c>
      <x:c r="C8" s="7" t="n">
        <x:v>1</x:v>
      </x:c>
      <x:c r="D8" s="12" t="n">
        <x:v>963859.7800811027</x:v>
      </x:c>
    </x:row>
    <x:row r="9" ht="22" customHeight="1">
      <x:c r="A9" s="7" t="str">
        <x:v>Historical</x:v>
      </x:c>
      <x:c r="B9" s="13" t="n">
        <x:v>0.99</x:v>
      </x:c>
      <x:c r="C9" s="7" t="n">
        <x:v>1</x:v>
      </x:c>
      <x:c r="D9" s="12" t="n">
        <x:v>1171692.7864600895</x:v>
      </x:c>
    </x:row>
    <x:row r="10" ht="22" customHeight="1">
      <x:c r="A10" s="7" t="str">
        <x:v>Parametric</x:v>
      </x:c>
      <x:c r="B10" s="13" t="n">
        <x:v>0.99</x:v>
      </x:c>
      <x:c r="C10" s="7" t="n">
        <x:v>1</x:v>
      </x:c>
      <x:c r="D10" s="12" t="n">
        <x:v>1354973.8744495406</x:v>
      </x:c>
    </x:row>
    <x:row r="11" ht="22" customHeight="1">
      <x:c r="A11" s="7" t="str">
        <x:v>Monte Carlo</x:v>
      </x:c>
      <x:c r="B11" s="13" t="n">
        <x:v>0.99</x:v>
      </x:c>
      <x:c r="C11" s="7" t="n">
        <x:v>1</x:v>
      </x:c>
      <x:c r="D11" s="12" t="n">
        <x:v>1340380.58826143</x:v>
      </x:c>
    </x:row>
  </x:sheetData>
  <x:pageMargins left="0.7" right="0.7" top="0.75" bottom="0.75" header="0.3" footer="0.3"/>
  <x:tableParts count="1">
    <x:tablePart xmlns:r="http://schemas.openxmlformats.org/officeDocument/2006/relationships" r:id="R08519039a8e341b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24" hidden="0" customWidth="1"/>
  </x:cols>
  <x:sheetData>
    <x:row r="1">
      <x:c r="A1" s="1"/>
      <x:c r="B1" s="1"/>
      <x:c r="C1" s="1"/>
    </x:row>
    <x:row r="2">
      <x:c r="A2" s="2" t="str">
        <x:v>One-day Expected Shortfall</x:v>
      </x:c>
      <x:c r="B2" s="1"/>
      <x:c r="C2" s="1"/>
    </x:row>
    <x:row r="3">
      <x:c r="A3" s="1" t="str">
        <x:v>2026-08-31 · CAD · Contains synthetic teaching data</x:v>
      </x:c>
      <x:c r="B3" s="1"/>
      <x:c r="C3" s="1"/>
    </x:row>
    <x:row r="4">
      <x:c r="A4" s="1"/>
      <x:c r="B4" s="1"/>
      <x:c r="C4" s="1"/>
    </x:row>
    <x:row r="5" ht="34" customHeight="1">
      <x:c r="A5" s="6" t="str">
        <x:v>Method</x:v>
      </x:c>
      <x:c r="B5" s="6" t="str">
        <x:v>Confidence</x:v>
      </x:c>
      <x:c r="C5" s="6" t="str">
        <x:v>ES (CAD)</x:v>
      </x:c>
    </x:row>
    <x:row r="6" ht="22" customHeight="1">
      <x:c r="A6" s="7" t="str">
        <x:v>Historical</x:v>
      </x:c>
      <x:c r="B6" s="13" t="n">
        <x:v>0.95</x:v>
      </x:c>
      <x:c r="C6" s="7" t="n">
        <x:v>1072168.034968261</x:v>
      </x:c>
    </x:row>
    <x:row r="7" ht="22" customHeight="1">
      <x:c r="A7" s="7" t="str">
        <x:v>Parametric</x:v>
      </x:c>
      <x:c r="B7" s="13" t="n">
        <x:v>0.95</x:v>
      </x:c>
      <x:c r="C7" s="7" t="n">
        <x:v>1201420.4736328954</x:v>
      </x:c>
    </x:row>
    <x:row r="8" ht="22" customHeight="1">
      <x:c r="A8" s="7" t="str">
        <x:v>Monte Carlo</x:v>
      </x:c>
      <x:c r="B8" s="13" t="n">
        <x:v>0.95</x:v>
      </x:c>
      <x:c r="C8" s="7" t="n">
        <x:v>1192800.3731620754</x:v>
      </x:c>
    </x:row>
    <x:row r="9" ht="22" customHeight="1">
      <x:c r="A9" s="7" t="str">
        <x:v>Historical</x:v>
      </x:c>
      <x:c r="B9" s="13" t="n">
        <x:v>0.99</x:v>
      </x:c>
      <x:c r="C9" s="7" t="n">
        <x:v>1221790.7118669322</x:v>
      </x:c>
    </x:row>
    <x:row r="10" ht="22" customHeight="1">
      <x:c r="A10" s="7" t="str">
        <x:v>Parametric</x:v>
      </x:c>
      <x:c r="B10" s="13" t="n">
        <x:v>0.99</x:v>
      </x:c>
      <x:c r="C10" s="7" t="n">
        <x:v>1552345.4934137547</x:v>
      </x:c>
    </x:row>
    <x:row r="11" ht="22" customHeight="1">
      <x:c r="A11" s="7" t="str">
        <x:v>Monte Carlo</x:v>
      </x:c>
      <x:c r="B11" s="13" t="n">
        <x:v>0.99</x:v>
      </x:c>
      <x:c r="C11" s="7" t="n">
        <x:v>1522803.1321615537</x:v>
      </x:c>
    </x:row>
  </x:sheetData>
  <x:pageMargins left="0.7" right="0.7" top="0.75" bottom="0.75" header="0.3" footer="0.3"/>
  <x:tableParts count="1">
    <x:tablePart xmlns:r="http://schemas.openxmlformats.org/officeDocument/2006/relationships" r:id="R0f47b812354e413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5" hidden="0" customWidth="1"/>
    <x:col min="5" max="5" width="20" hidden="0" customWidth="1"/>
    <x:col min="6" max="6" width="20" hidden="0" customWidth="1"/>
    <x:col min="7" max="7" width="22" hidden="0" customWidth="1"/>
    <x:col min="8" max="8" width="23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>
      <x:c r="A2" s="2" t="str">
        <x:v>Fixed-income analytics</x:v>
      </x:c>
      <x:c r="B2" s="1"/>
      <x:c r="C2" s="1"/>
      <x:c r="D2" s="1"/>
      <x:c r="E2" s="1"/>
      <x:c r="F2" s="1"/>
      <x:c r="G2" s="1"/>
      <x:c r="H2" s="1"/>
    </x:row>
    <x:row r="3">
      <x:c r="A3" s="1" t="str">
        <x:v>2026-08-31 · CAD · Contains synthetic teaching data</x:v>
      </x:c>
      <x:c r="B3" s="1"/>
      <x:c r="C3" s="1"/>
      <x:c r="D3" s="1"/>
      <x:c r="E3" s="1"/>
      <x:c r="F3" s="1"/>
      <x:c r="G3" s="1"/>
      <x:c r="H3" s="1"/>
    </x:row>
    <x:row r="4">
      <x:c r="A4" s="1"/>
      <x:c r="B4" s="1"/>
      <x:c r="C4" s="1"/>
      <x:c r="D4" s="1"/>
      <x:c r="E4" s="1"/>
      <x:c r="F4" s="1"/>
      <x:c r="G4" s="1"/>
      <x:c r="H4" s="1"/>
    </x:row>
    <x:row r="5" ht="34" customHeight="1">
      <x:c r="A5" s="6" t="str">
        <x:v>Security</x:v>
      </x:c>
      <x:c r="B5" s="6" t="str">
        <x:v>Dirty price</x:v>
      </x:c>
      <x:c r="C5" s="6" t="str">
        <x:v>Clean price</x:v>
      </x:c>
      <x:c r="D5" s="6" t="str">
        <x:v>YTM</x:v>
      </x:c>
      <x:c r="E5" s="6" t="str">
        <x:v>Macaulay (yr)</x:v>
      </x:c>
      <x:c r="F5" s="6" t="str">
        <x:v>Modified (yr)</x:v>
      </x:c>
      <x:c r="G5" s="6" t="str">
        <x:v>Convexity (yr²)</x:v>
      </x:c>
      <x:c r="H5" s="6" t="str">
        <x:v>DV01 (CAD/bp)</x:v>
      </x:c>
    </x:row>
    <x:row r="6" ht="22" customHeight="1">
      <x:c r="A6" s="7" t="str">
        <x:v>CA_CORP</x:v>
      </x:c>
      <x:c r="B6" s="7" t="n">
        <x:v>101.431347041</x:v>
      </x:c>
      <x:c r="C6" s="7" t="n">
        <x:v>101.431347041</x:v>
      </x:c>
      <x:c r="D6" s="14" t="n">
        <x:v>0.047571895</x:v>
      </x:c>
      <x:c r="E6" s="7" t="n">
        <x:v>6.0001931621</x:v>
      </x:c>
      <x:c r="F6" s="7" t="n">
        <x:v>5.8607887488</x:v>
      </x:c>
      <x:c r="G6" s="7" t="n">
        <x:v>40.6596378314</x:v>
      </x:c>
      <x:c r="H6" s="7" t="n">
        <x:v>7133.6129971246</x:v>
      </x:c>
    </x:row>
    <x:row r="7" ht="22" customHeight="1">
      <x:c r="A7" s="7" t="str">
        <x:v>CA_GOV</x:v>
      </x:c>
      <x:c r="B7" s="7" t="n">
        <x:v>101.5041045526</x:v>
      </x:c>
      <x:c r="C7" s="7" t="n">
        <x:v>101.5041045526</x:v>
      </x:c>
      <x:c r="D7" s="14" t="n">
        <x:v>0.0317231663</x:v>
      </x:c>
      <x:c r="E7" s="7" t="n">
        <x:v>4.6336146124</x:v>
      </x:c>
      <x:c r="F7" s="7" t="n">
        <x:v>4.561265717</x:v>
      </x:c>
      <x:c r="G7" s="7" t="n">
        <x:v>24.0578809976</x:v>
      </x:c>
      <x:c r="H7" s="7" t="n">
        <x:v>10185.7187508986</x:v>
      </x:c>
    </x:row>
  </x:sheetData>
  <x:pageMargins left="0.7" right="0.7" top="0.75" bottom="0.75" header="0.3" footer="0.3"/>
  <x:tableParts count="1">
    <x:tablePart xmlns:r="http://schemas.openxmlformats.org/officeDocument/2006/relationships" r:id="R4784d7016b8946d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5" hidden="0" customWidth="1"/>
    <x:col min="3" max="3" width="27" hidden="0" customWidth="1"/>
    <x:col min="4" max="4" width="25" hidden="0" customWidth="1"/>
    <x:col min="5" max="5" width="26" hidden="0" customWidth="1"/>
    <x:col min="6" max="6" width="15" hidden="0" customWidth="1"/>
    <x:col min="7" max="7" width="24" hidden="0" customWidth="1"/>
  </x:cols>
  <x:sheetData>
    <x:row r="1">
      <x:c r="A1" s="1"/>
      <x:c r="B1" s="1"/>
      <x:c r="C1" s="1"/>
      <x:c r="D1" s="1"/>
      <x:c r="E1" s="1"/>
      <x:c r="F1" s="1"/>
      <x:c r="G1" s="1"/>
    </x:row>
    <x:row r="2">
      <x:c r="A2" s="2" t="str">
        <x:v>99% parametric risk contribution</x:v>
      </x:c>
      <x:c r="B2" s="1"/>
      <x:c r="C2" s="1"/>
      <x:c r="D2" s="1"/>
      <x:c r="E2" s="1"/>
      <x:c r="F2" s="1"/>
      <x:c r="G2" s="1"/>
    </x:row>
    <x:row r="3">
      <x:c r="A3" s="1" t="str">
        <x:v>2026-08-31 · CAD · Contains synthetic teaching data</x:v>
      </x:c>
      <x:c r="B3" s="1"/>
      <x:c r="C3" s="1"/>
      <x:c r="D3" s="1"/>
      <x:c r="E3" s="1"/>
      <x:c r="F3" s="1"/>
      <x:c r="G3" s="1"/>
    </x:row>
    <x:row r="4">
      <x:c r="A4" s="1"/>
      <x:c r="B4" s="1"/>
      <x:c r="C4" s="1"/>
      <x:c r="D4" s="1"/>
      <x:c r="E4" s="1"/>
      <x:c r="F4" s="1"/>
      <x:c r="G4" s="1"/>
    </x:row>
    <x:row r="5" ht="34" customHeight="1">
      <x:c r="A5" s="6" t="str">
        <x:v>Security</x:v>
      </x:c>
      <x:c r="B5" s="6" t="str">
        <x:v>Component VaR (CAD)</x:v>
      </x:c>
      <x:c r="C5" s="6" t="str">
        <x:v>Marginal VaR (CAD/unit)</x:v>
      </x:c>
      <x:c r="D5" s="6" t="str">
        <x:v>Standalone VaR (CAD)</x:v>
      </x:c>
      <x:c r="E5" s="6" t="str">
        <x:v>Asset class</x:v>
      </x:c>
      <x:c r="F5" s="6" t="str">
        <x:v>Currency</x:v>
      </x:c>
      <x:c r="G5" s="6" t="str">
        <x:v>Sector</x:v>
      </x:c>
    </x:row>
    <x:row r="6" ht="22" customHeight="1">
      <x:c r="A6" s="7" t="str">
        <x:v>CA_EQ</x:v>
      </x:c>
      <x:c r="B6" s="7" t="n">
        <x:v>492734.9981525619</x:v>
      </x:c>
      <x:c r="C6" s="7" t="n">
        <x:v>1.963087642</x:v>
      </x:c>
      <x:c r="D6" s="7" t="n">
        <x:v>643435.3163356716</x:v>
      </x:c>
      <x:c r="E6" s="7" t="str">
        <x:v>Equity</x:v>
      </x:c>
      <x:c r="F6" s="7" t="str">
        <x:v>CAD</x:v>
      </x:c>
      <x:c r="G6" s="7" t="str">
        <x:v>Broad market</x:v>
      </x:c>
    </x:row>
    <x:row r="7" ht="22" customHeight="1">
      <x:c r="A7" s="7" t="str">
        <x:v>US_EQ</x:v>
      </x:c>
      <x:c r="B7" s="7" t="n">
        <x:v>737688.7441464383</x:v>
      </x:c>
      <x:c r="C7" s="7" t="n">
        <x:v>10.5384106307</x:v>
      </x:c>
      <x:c r="D7" s="7" t="n">
        <x:v>820430.4096645814</x:v>
      </x:c>
      <x:c r="E7" s="7" t="str">
        <x:v>Equity</x:v>
      </x:c>
      <x:c r="F7" s="7" t="str">
        <x:v>USD</x:v>
      </x:c>
      <x:c r="G7" s="7" t="str">
        <x:v>Broad market</x:v>
      </x:c>
    </x:row>
    <x:row r="8" ht="22" customHeight="1">
      <x:c r="A8" s="7" t="str">
        <x:v>US_ETF</x:v>
      </x:c>
      <x:c r="B8" s="7" t="n">
        <x:v>44014.5414695355</x:v>
      </x:c>
      <x:c r="C8" s="7" t="n">
        <x:v>0.6771467918</x:v>
      </x:c>
      <x:c r="D8" s="7" t="n">
        <x:v>146285.3512718813</x:v>
      </x:c>
      <x:c r="E8" s="7" t="str">
        <x:v>Fixed income ETF</x:v>
      </x:c>
      <x:c r="F8" s="7" t="str">
        <x:v>USD</x:v>
      </x:c>
      <x:c r="G8" s="7" t="str">
        <x:v>Government</x:v>
      </x:c>
    </x:row>
    <x:row r="9" ht="22" customHeight="1">
      <x:c r="A9" s="7" t="str">
        <x:v>CA_GOV</x:v>
      </x:c>
      <x:c r="B9" s="7" t="n">
        <x:v>19847.3462203835</x:v>
      </x:c>
      <x:c r="C9" s="7" t="n">
        <x:v>0.0902152101</x:v>
      </x:c>
      <x:c r="D9" s="7" t="n">
        <x:v>117232.8981507028</x:v>
      </x:c>
      <x:c r="E9" s="7" t="str">
        <x:v>Government bond</x:v>
      </x:c>
      <x:c r="F9" s="7" t="str">
        <x:v>CAD</x:v>
      </x:c>
      <x:c r="G9" s="7" t="str">
        <x:v>Government</x:v>
      </x:c>
    </x:row>
    <x:row r="10" ht="22" customHeight="1">
      <x:c r="A10" s="7" t="str">
        <x:v>CA_CORP</x:v>
      </x:c>
      <x:c r="B10" s="7" t="n">
        <x:v>1904.9655992086</x:v>
      </x:c>
      <x:c r="C10" s="7" t="n">
        <x:v>0.0158747133</x:v>
      </x:c>
      <x:c r="D10" s="7" t="n">
        <x:v>93688.6987160152</x:v>
      </x:c>
      <x:c r="E10" s="7" t="str">
        <x:v>Corporate bond</x:v>
      </x:c>
      <x:c r="F10" s="7" t="str">
        <x:v>CAD</x:v>
      </x:c>
      <x:c r="G10" s="7" t="str">
        <x:v>Financials</x:v>
      </x:c>
    </x:row>
    <x:row r="11" ht="22" customHeight="1">
      <x:c r="A11" s="7" t="str">
        <x:v>US_CALL</x:v>
      </x:c>
      <x:c r="B11" s="7" t="n">
        <x:v>50041.1366606201</x:v>
      </x:c>
      <x:c r="C11" s="7" t="n">
        <x:v>500.4113666062</x:v>
      </x:c>
      <x:c r="D11" s="7" t="n">
        <x:v>58946.7573459222</x:v>
      </x:c>
      <x:c r="E11" s="7" t="str">
        <x:v>Option</x:v>
      </x:c>
      <x:c r="F11" s="7" t="str">
        <x:v>USD</x:v>
      </x:c>
      <x:c r="G11" s="7" t="str">
        <x:v>Broad market</x:v>
      </x:c>
    </x:row>
    <x:row r="12" ht="22" customHeight="1">
      <x:c r="A12" s="7" t="str">
        <x:v>CAD_CASH</x:v>
      </x:c>
      <x:c r="B12" s="7" t="n">
        <x:v>0</x:v>
      </x:c>
      <x:c r="C12" s="7" t="n">
        <x:v>0</x:v>
      </x:c>
      <x:c r="D12" s="7" t="n">
        <x:v>0</x:v>
      </x:c>
      <x:c r="E12" s="7" t="str">
        <x:v>Cash</x:v>
      </x:c>
      <x:c r="F12" s="7" t="str">
        <x:v>CAD</x:v>
      </x:c>
      <x:c r="G12" s="7" t="str">
        <x:v>Cash</x:v>
      </x:c>
    </x:row>
    <x:row r="13" ht="22" customHeight="1">
      <x:c r="A13" s="7" t="str">
        <x:v>USD_CASH</x:v>
      </x:c>
      <x:c r="B13" s="7" t="n">
        <x:v>8742.1422007928</x:v>
      </x:c>
      <x:c r="C13" s="7" t="n">
        <x:v>0.0043710711</x:v>
      </x:c>
      <x:c r="D13" s="7" t="n">
        <x:v>30260.6897702401</x:v>
      </x:c>
      <x:c r="E13" s="7" t="str">
        <x:v>Cash</x:v>
      </x:c>
      <x:c r="F13" s="7" t="str">
        <x:v>USD</x:v>
      </x:c>
      <x:c r="G13" s="7" t="str">
        <x:v>Cash</x:v>
      </x:c>
    </x:row>
  </x:sheetData>
  <x:pageMargins left="0.7" right="0.7" top="0.75" bottom="0.75" header="0.3" footer="0.3"/>
  <x:tableParts count="1">
    <x:tablePart xmlns:r="http://schemas.openxmlformats.org/officeDocument/2006/relationships" r:id="R1e9554b68f624c03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20" hidden="0" customWidth="1"/>
    <x:col min="3" max="3" width="26" hidden="0" customWidth="1"/>
    <x:col min="4" max="4" width="24" hidden="0" customWidth="1"/>
  </x:cols>
  <x:sheetData>
    <x:row r="1">
      <x:c r="A1" s="1"/>
      <x:c r="B1" s="1"/>
      <x:c r="C1" s="1"/>
      <x:c r="D1" s="1"/>
    </x:row>
    <x:row r="2">
      <x:c r="A2" s="2" t="str">
        <x:v>Full-repricing stress P&amp;L</x:v>
      </x:c>
      <x:c r="B2" s="1"/>
      <x:c r="C2" s="1"/>
      <x:c r="D2" s="1"/>
    </x:row>
    <x:row r="3">
      <x:c r="A3" s="1" t="str">
        <x:v>2026-08-31 · CAD · Contains synthetic teaching data</x:v>
      </x:c>
      <x:c r="B3" s="1"/>
      <x:c r="C3" s="1"/>
      <x:c r="D3" s="1"/>
    </x:row>
    <x:row r="4">
      <x:c r="A4" s="1"/>
      <x:c r="B4" s="1"/>
      <x:c r="C4" s="1"/>
      <x:c r="D4" s="1"/>
    </x:row>
    <x:row r="5" ht="34" customHeight="1">
      <x:c r="A5" s="6" t="str">
        <x:v>Scenario</x:v>
      </x:c>
      <x:c r="B5" s="6" t="str">
        <x:v>Security</x:v>
      </x:c>
      <x:c r="C5" s="6" t="str">
        <x:v>Asset class</x:v>
      </x:c>
      <x:c r="D5" s="6" t="str">
        <x:v>P&amp;L (CAD)</x:v>
      </x:c>
    </x:row>
    <x:row r="6" ht="22" customHeight="1">
      <x:c r="A6" s="7" t="str">
        <x:v>Recession</x:v>
      </x:c>
      <x:c r="B6" s="7" t="str">
        <x:v>CA_EQ</x:v>
      </x:c>
      <x:c r="C6" s="7" t="str">
        <x:v>Equity</x:v>
      </x:c>
      <x:c r="D6" s="7" t="n">
        <x:v>-6275000</x:v>
      </x:c>
    </x:row>
    <x:row r="7" ht="22" customHeight="1">
      <x:c r="A7" s="7" t="str">
        <x:v>Recession</x:v>
      </x:c>
      <x:c r="B7" s="7" t="str">
        <x:v>US_EQ</x:v>
      </x:c>
      <x:c r="C7" s="7" t="str">
        <x:v>Equity</x:v>
      </x:c>
      <x:c r="D7" s="7" t="n">
        <x:v>-4521999.999999997</x:v>
      </x:c>
    </x:row>
    <x:row r="8" ht="22" customHeight="1">
      <x:c r="A8" s="7" t="str">
        <x:v>Recession</x:v>
      </x:c>
      <x:c r="B8" s="7" t="str">
        <x:v>US_ETF</x:v>
      </x:c>
      <x:c r="C8" s="7" t="str">
        <x:v>Fixed income ETF</x:v>
      </x:c>
      <x:c r="D8" s="7" t="n">
        <x:v>1125331.9999999988</x:v>
      </x:c>
    </x:row>
    <x:row r="9" ht="22" customHeight="1">
      <x:c r="A9" s="7" t="str">
        <x:v>Recession</x:v>
      </x:c>
      <x:c r="B9" s="7" t="str">
        <x:v>CA_GOV</x:v>
      </x:c>
      <x:c r="C9" s="7" t="str">
        <x:v>Government bond</x:v>
      </x:c>
      <x:c r="D9" s="7" t="n">
        <x:v>790679.6998636895</x:v>
      </x:c>
    </x:row>
    <x:row r="10" ht="22" customHeight="1">
      <x:c r="A10" s="7" t="str">
        <x:v>Recession</x:v>
      </x:c>
      <x:c r="B10" s="7" t="str">
        <x:v>CA_CORP</x:v>
      </x:c>
      <x:c r="C10" s="7" t="str">
        <x:v>Corporate bond</x:v>
      </x:c>
      <x:c r="D10" s="7" t="n">
        <x:v>-876520.3714867261</x:v>
      </x:c>
    </x:row>
    <x:row r="11" ht="22" customHeight="1">
      <x:c r="A11" s="7" t="str">
        <x:v>Recession</x:v>
      </x:c>
      <x:c r="B11" s="7" t="str">
        <x:v>US_CALL</x:v>
      </x:c>
      <x:c r="C11" s="7" t="str">
        <x:v>Option</x:v>
      </x:c>
      <x:c r="D11" s="7" t="n">
        <x:v>-142013.0661755471</x:v>
      </x:c>
    </x:row>
    <x:row r="12" ht="22" customHeight="1">
      <x:c r="A12" s="7" t="str">
        <x:v>Recession</x:v>
      </x:c>
      <x:c r="B12" s="7" t="str">
        <x:v>CAD_CASH</x:v>
      </x:c>
      <x:c r="C12" s="7" t="str">
        <x:v>Cash</x:v>
      </x:c>
      <x:c r="D12" s="7" t="n">
        <x:v>0</x:v>
      </x:c>
    </x:row>
    <x:row r="13" ht="22" customHeight="1">
      <x:c r="A13" s="7" t="str">
        <x:v>Recession</x:v>
      </x:c>
      <x:c r="B13" s="7" t="str">
        <x:v>USD_CASH</x:v>
      </x:c>
      <x:c r="C13" s="7" t="str">
        <x:v>Cash</x:v>
      </x:c>
      <x:c r="D13" s="7" t="n">
        <x:v>217600</x:v>
      </x:c>
    </x:row>
    <x:row r="14" ht="22" customHeight="1">
      <x:c r="A14" s="7" t="str">
        <x:v>Inflation</x:v>
      </x:c>
      <x:c r="B14" s="7" t="str">
        <x:v>CA_EQ</x:v>
      </x:c>
      <x:c r="C14" s="7" t="str">
        <x:v>Equity</x:v>
      </x:c>
      <x:c r="D14" s="7" t="n">
        <x:v>-4518000</x:v>
      </x:c>
    </x:row>
    <x:row r="15" ht="22" customHeight="1">
      <x:c r="A15" s="7" t="str">
        <x:v>Inflation</x:v>
      </x:c>
      <x:c r="B15" s="7" t="str">
        <x:v>US_EQ</x:v>
      </x:c>
      <x:c r="C15" s="7" t="str">
        <x:v>Equity</x:v>
      </x:c>
      <x:c r="D15" s="7" t="n">
        <x:v>-5064639.999999994</x:v>
      </x:c>
    </x:row>
    <x:row r="16" ht="22" customHeight="1">
      <x:c r="A16" s="7" t="str">
        <x:v>Inflation</x:v>
      </x:c>
      <x:c r="B16" s="7" t="str">
        <x:v>US_ETF</x:v>
      </x:c>
      <x:c r="C16" s="7" t="str">
        <x:v>Fixed income ETF</x:v>
      </x:c>
      <x:c r="D16" s="7" t="n">
        <x:v>-1061507.2000000004</x:v>
      </x:c>
    </x:row>
    <x:row r="17" ht="22" customHeight="1">
      <x:c r="A17" s="7" t="str">
        <x:v>Inflation</x:v>
      </x:c>
      <x:c r="B17" s="7" t="str">
        <x:v>CA_GOV</x:v>
      </x:c>
      <x:c r="C17" s="7" t="str">
        <x:v>Government bond</x:v>
      </x:c>
      <x:c r="D17" s="7" t="n">
        <x:v>-1497474.1623540793</x:v>
      </x:c>
    </x:row>
    <x:row r="18" ht="22" customHeight="1">
      <x:c r="A18" s="7" t="str">
        <x:v>Inflation</x:v>
      </x:c>
      <x:c r="B18" s="7" t="str">
        <x:v>CA_CORP</x:v>
      </x:c>
      <x:c r="C18" s="7" t="str">
        <x:v>Corporate bond</x:v>
      </x:c>
      <x:c r="D18" s="7" t="n">
        <x:v>-1683729.2270151726</x:v>
      </x:c>
    </x:row>
    <x:row r="19" ht="22" customHeight="1">
      <x:c r="A19" s="7" t="str">
        <x:v>Inflation</x:v>
      </x:c>
      <x:c r="B19" s="7" t="str">
        <x:v>US_CALL</x:v>
      </x:c>
      <x:c r="C19" s="7" t="str">
        <x:v>Option</x:v>
      </x:c>
      <x:c r="D19" s="7" t="n">
        <x:v>-139989.2079036945</x:v>
      </x:c>
    </x:row>
    <x:row r="20" ht="22" customHeight="1">
      <x:c r="A20" s="7" t="str">
        <x:v>Inflation</x:v>
      </x:c>
      <x:c r="B20" s="7" t="str">
        <x:v>CAD_CASH</x:v>
      </x:c>
      <x:c r="C20" s="7" t="str">
        <x:v>Cash</x:v>
      </x:c>
      <x:c r="D20" s="7" t="n">
        <x:v>0</x:v>
      </x:c>
    </x:row>
    <x:row r="21" ht="22" customHeight="1">
      <x:c r="A21" s="7" t="str">
        <x:v>Inflation</x:v>
      </x:c>
      <x:c r="B21" s="7" t="str">
        <x:v>USD_CASH</x:v>
      </x:c>
      <x:c r="C21" s="7" t="str">
        <x:v>Cash</x:v>
      </x:c>
      <x:c r="D21" s="7" t="n">
        <x:v>-108800</x:v>
      </x:c>
    </x:row>
    <x:row r="22" ht="22" customHeight="1">
      <x:c r="A22" s="7" t="str">
        <x:v>Credit crisis</x:v>
      </x:c>
      <x:c r="B22" s="7" t="str">
        <x:v>CA_EQ</x:v>
      </x:c>
      <x:c r="C22" s="7" t="str">
        <x:v>Equity</x:v>
      </x:c>
      <x:c r="D22" s="7" t="n">
        <x:v>-8785000</x:v>
      </x:c>
    </x:row>
    <x:row r="23" ht="22" customHeight="1">
      <x:c r="A23" s="7" t="str">
        <x:v>Credit crisis</x:v>
      </x:c>
      <x:c r="B23" s="7" t="str">
        <x:v>US_EQ</x:v>
      </x:c>
      <x:c r="C23" s="7" t="str">
        <x:v>Equity</x:v>
      </x:c>
      <x:c r="D23" s="7" t="n">
        <x:v>-6473599.999999995</x:v>
      </x:c>
    </x:row>
    <x:row r="24" ht="22" customHeight="1">
      <x:c r="A24" s="7" t="str">
        <x:v>Credit crisis</x:v>
      </x:c>
      <x:c r="B24" s="7" t="str">
        <x:v>US_ETF</x:v>
      </x:c>
      <x:c r="C24" s="7" t="str">
        <x:v>Fixed income ETF</x:v>
      </x:c>
      <x:c r="D24" s="7" t="n">
        <x:v>1666163.200000001</x:v>
      </x:c>
    </x:row>
    <x:row r="25" ht="22" customHeight="1">
      <x:c r="A25" s="7" t="str">
        <x:v>Credit crisis</x:v>
      </x:c>
      <x:c r="B25" s="7" t="str">
        <x:v>CA_GOV</x:v>
      </x:c>
      <x:c r="C25" s="7" t="str">
        <x:v>Government bond</x:v>
      </x:c>
      <x:c r="D25" s="7" t="n">
        <x:v>1060712.5941559572</x:v>
      </x:c>
    </x:row>
    <x:row r="26" ht="22" customHeight="1">
      <x:c r="A26" s="7" t="str">
        <x:v>Credit crisis</x:v>
      </x:c>
      <x:c r="B26" s="7" t="str">
        <x:v>CA_CORP</x:v>
      </x:c>
      <x:c r="C26" s="7" t="str">
        <x:v>Corporate bond</x:v>
      </x:c>
      <x:c r="D26" s="7" t="n">
        <x:v>-1988484.9863497482</x:v>
      </x:c>
    </x:row>
    <x:row r="27" ht="22" customHeight="1">
      <x:c r="A27" s="7" t="str">
        <x:v>Credit crisis</x:v>
      </x:c>
      <x:c r="B27" s="7" t="str">
        <x:v>US_CALL</x:v>
      </x:c>
      <x:c r="C27" s="7" t="str">
        <x:v>Option</x:v>
      </x:c>
      <x:c r="D27" s="7" t="n">
        <x:v>-148993.3795201912</x:v>
      </x:c>
    </x:row>
    <x:row r="28" ht="22" customHeight="1">
      <x:c r="A28" s="7" t="str">
        <x:v>Credit crisis</x:v>
      </x:c>
      <x:c r="B28" s="7" t="str">
        <x:v>CAD_CASH</x:v>
      </x:c>
      <x:c r="C28" s="7" t="str">
        <x:v>Cash</x:v>
      </x:c>
      <x:c r="D28" s="7" t="n">
        <x:v>0</x:v>
      </x:c>
    </x:row>
    <x:row r="29" ht="22" customHeight="1">
      <x:c r="A29" s="7" t="str">
        <x:v>Credit crisis</x:v>
      </x:c>
      <x:c r="B29" s="7" t="str">
        <x:v>USD_CASH</x:v>
      </x:c>
      <x:c r="C29" s="7" t="str">
        <x:v>Cash</x:v>
      </x:c>
      <x:c r="D29" s="7" t="n">
        <x:v>326400.0000000005</x:v>
      </x:c>
    </x:row>
    <x:row r="30" ht="22" customHeight="1">
      <x:c r="A30" s="7" t="str">
        <x:v>Equity crash</x:v>
      </x:c>
      <x:c r="B30" s="7" t="str">
        <x:v>CA_EQ</x:v>
      </x:c>
      <x:c r="C30" s="7" t="str">
        <x:v>Equity</x:v>
      </x:c>
      <x:c r="D30" s="7" t="n">
        <x:v>-7530000</x:v>
      </x:c>
    </x:row>
    <x:row r="31" ht="22" customHeight="1">
      <x:c r="A31" s="7" t="str">
        <x:v>Equity crash</x:v>
      </x:c>
      <x:c r="B31" s="7" t="str">
        <x:v>US_EQ</x:v>
      </x:c>
      <x:c r="C31" s="7" t="str">
        <x:v>Equity</x:v>
      </x:c>
      <x:c r="D31" s="7" t="n">
        <x:v>-6306999.999999997</x:v>
      </x:c>
    </x:row>
    <x:row r="32" ht="22" customHeight="1">
      <x:c r="A32" s="7" t="str">
        <x:v>Equity crash</x:v>
      </x:c>
      <x:c r="B32" s="7" t="str">
        <x:v>US_ETF</x:v>
      </x:c>
      <x:c r="C32" s="7" t="str">
        <x:v>Fixed income ETF</x:v>
      </x:c>
      <x:c r="D32" s="7" t="n">
        <x:v>596258.0000000006</x:v>
      </x:c>
    </x:row>
    <x:row r="33" ht="22" customHeight="1">
      <x:c r="A33" s="7" t="str">
        <x:v>Equity crash</x:v>
      </x:c>
      <x:c r="B33" s="7" t="str">
        <x:v>CA_GOV</x:v>
      </x:c>
      <x:c r="C33" s="7" t="str">
        <x:v>Government bond</x:v>
      </x:c>
      <x:c r="D33" s="7" t="n">
        <x:v>260363.1391240683</x:v>
      </x:c>
    </x:row>
    <x:row r="34" ht="22" customHeight="1">
      <x:c r="A34" s="7" t="str">
        <x:v>Equity crash</x:v>
      </x:c>
      <x:c r="B34" s="7" t="str">
        <x:v>CA_CORP</x:v>
      </x:c>
      <x:c r="C34" s="7" t="str">
        <x:v>Corporate bond</x:v>
      </x:c>
      <x:c r="D34" s="7" t="n">
        <x:v>-876520.3714867261</x:v>
      </x:c>
    </x:row>
    <x:row r="35" ht="22" customHeight="1">
      <x:c r="A35" s="7" t="str">
        <x:v>Equity crash</x:v>
      </x:c>
      <x:c r="B35" s="7" t="str">
        <x:v>US_CALL</x:v>
      </x:c>
      <x:c r="C35" s="7" t="str">
        <x:v>Option</x:v>
      </x:c>
      <x:c r="D35" s="7" t="n">
        <x:v>-147887.8032058612</x:v>
      </x:c>
    </x:row>
    <x:row r="36" ht="22" customHeight="1">
      <x:c r="A36" s="7" t="str">
        <x:v>Equity crash</x:v>
      </x:c>
      <x:c r="B36" s="7" t="str">
        <x:v>CAD_CASH</x:v>
      </x:c>
      <x:c r="C36" s="7" t="str">
        <x:v>Cash</x:v>
      </x:c>
      <x:c r="D36" s="7" t="n">
        <x:v>0</x:v>
      </x:c>
    </x:row>
    <x:row r="37" ht="22" customHeight="1">
      <x:c r="A37" s="7" t="str">
        <x:v>Equity crash</x:v>
      </x:c>
      <x:c r="B37" s="7" t="str">
        <x:v>USD_CASH</x:v>
      </x:c>
      <x:c r="C37" s="7" t="str">
        <x:v>Cash</x:v>
      </x:c>
      <x:c r="D37" s="7" t="n">
        <x:v>136000.0000000001</x:v>
      </x:c>
    </x:row>
    <x:row r="38" ht="22" customHeight="1">
      <x:c r="A38" s="7" t="str">
        <x:v>Custom</x:v>
      </x:c>
      <x:c r="B38" s="7" t="str">
        <x:v>CA_EQ</x:v>
      </x:c>
      <x:c r="C38" s="7" t="str">
        <x:v>Equity</x:v>
      </x:c>
      <x:c r="D38" s="7" t="n">
        <x:v>-2510000</x:v>
      </x:c>
    </x:row>
    <x:row r="39" ht="22" customHeight="1">
      <x:c r="A39" s="7" t="str">
        <x:v>Custom</x:v>
      </x:c>
      <x:c r="B39" s="7" t="str">
        <x:v>US_EQ</x:v>
      </x:c>
      <x:c r="C39" s="7" t="str">
        <x:v>Equity</x:v>
      </x:c>
      <x:c r="D39" s="7" t="n">
        <x:v>-2380000</x:v>
      </x:c>
    </x:row>
    <x:row r="40" ht="22" customHeight="1">
      <x:c r="A40" s="7" t="str">
        <x:v>Custom</x:v>
      </x:c>
      <x:c r="B40" s="7" t="str">
        <x:v>US_ETF</x:v>
      </x:c>
      <x:c r="C40" s="7" t="str">
        <x:v>Fixed income ETF</x:v>
      </x:c>
      <x:c r="D40" s="7" t="n">
        <x:v>0</x:v>
      </x:c>
    </x:row>
    <x:row r="41" ht="22" customHeight="1">
      <x:c r="A41" s="7" t="str">
        <x:v>Custom</x:v>
      </x:c>
      <x:c r="B41" s="7" t="str">
        <x:v>CA_GOV</x:v>
      </x:c>
      <x:c r="C41" s="7" t="str">
        <x:v>Government bond</x:v>
      </x:c>
      <x:c r="D41" s="7" t="n">
        <x:v>-511331.0185248176</x:v>
      </x:c>
    </x:row>
    <x:row r="42" ht="22" customHeight="1">
      <x:c r="A42" s="7" t="str">
        <x:v>Custom</x:v>
      </x:c>
      <x:c r="B42" s="7" t="str">
        <x:v>CA_CORP</x:v>
      </x:c>
      <x:c r="C42" s="7" t="str">
        <x:v>Corporate bond</x:v>
      </x:c>
      <x:c r="D42" s="7" t="n">
        <x:v>-706950.3398291976</x:v>
      </x:c>
    </x:row>
    <x:row r="43" ht="22" customHeight="1">
      <x:c r="A43" s="7" t="str">
        <x:v>Custom</x:v>
      </x:c>
      <x:c r="B43" s="7" t="str">
        <x:v>US_CALL</x:v>
      </x:c>
      <x:c r="C43" s="7" t="str">
        <x:v>Option</x:v>
      </x:c>
      <x:c r="D43" s="7" t="n">
        <x:v>-137319.8799206683</x:v>
      </x:c>
    </x:row>
    <x:row r="44" ht="22" customHeight="1">
      <x:c r="A44" s="7" t="str">
        <x:v>Custom</x:v>
      </x:c>
      <x:c r="B44" s="7" t="str">
        <x:v>CAD_CASH</x:v>
      </x:c>
      <x:c r="C44" s="7" t="str">
        <x:v>Cash</x:v>
      </x:c>
      <x:c r="D44" s="7" t="n">
        <x:v>0</x:v>
      </x:c>
    </x:row>
    <x:row r="45" ht="22" customHeight="1">
      <x:c r="A45" s="7" t="str">
        <x:v>Custom</x:v>
      </x:c>
      <x:c r="B45" s="7" t="str">
        <x:v>USD_CASH</x:v>
      </x:c>
      <x:c r="C45" s="7" t="str">
        <x:v>Cash</x:v>
      </x:c>
      <x:c r="D45" s="7" t="n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0cfb33318f7d4843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0" hidden="0" customWidth="1"/>
    <x:col min="3" max="3" width="25" hidden="0" customWidth="1"/>
    <x:col min="4" max="4" width="25" hidden="0" customWidth="1"/>
    <x:col min="5" max="5" width="26" hidden="0" customWidth="1"/>
  </x:cols>
  <x:sheetData>
    <x:row r="1">
      <x:c r="A1" s="1"/>
      <x:c r="B1" s="1"/>
      <x:c r="C1" s="1"/>
      <x:c r="D1" s="1"/>
      <x:c r="E1" s="1"/>
    </x:row>
    <x:row r="2">
      <x:c r="A2" s="2" t="str">
        <x:v>Yield-curve scenario repricing</x:v>
      </x:c>
      <x:c r="B2" s="1"/>
      <x:c r="C2" s="1"/>
      <x:c r="D2" s="1"/>
      <x:c r="E2" s="1"/>
    </x:row>
    <x:row r="3">
      <x:c r="A3" s="1" t="str">
        <x:v>2026-08-31 · CAD · Contains synthetic teaching data</x:v>
      </x:c>
      <x:c r="B3" s="1"/>
      <x:c r="C3" s="1"/>
      <x:c r="D3" s="1"/>
      <x:c r="E3" s="1"/>
    </x:row>
    <x:row r="4">
      <x:c r="A4" s="1"/>
      <x:c r="B4" s="1"/>
      <x:c r="C4" s="1"/>
      <x:c r="D4" s="1"/>
      <x:c r="E4" s="1"/>
    </x:row>
    <x:row r="5" ht="34" customHeight="1">
      <x:c r="A5" s="6" t="str">
        <x:v>Scenario</x:v>
      </x:c>
      <x:c r="B5" s="6" t="str">
        <x:v>Security</x:v>
      </x:c>
      <x:c r="C5" s="6" t="str">
        <x:v>Full P&amp;L (CAD)</x:v>
      </x:c>
      <x:c r="D5" s="6" t="str">
        <x:v>Linear P&amp;L (CAD)</x:v>
      </x:c>
      <x:c r="E5" s="6" t="str">
        <x:v>Nonlinear difference</x:v>
      </x:c>
    </x:row>
    <x:row r="6" ht="22" customHeight="1">
      <x:c r="A6" s="7" t="str">
        <x:v>Parallel +100 bp</x:v>
      </x:c>
      <x:c r="B6" s="7" t="str">
        <x:v>CA_GOV</x:v>
      </x:c>
      <x:c r="C6" s="7" t="n">
        <x:v>-1010389.4748185354</x:v>
      </x:c>
      <x:c r="D6" s="7" t="n">
        <x:v>-1035137.527364611</x:v>
      </x:c>
      <x:c r="E6" s="7" t="n">
        <x:v>24748.0525460757</x:v>
      </x:c>
    </x:row>
    <x:row r="7" ht="22" customHeight="1">
      <x:c r="A7" s="7" t="str">
        <x:v>Parallel +100 bp</x:v>
      </x:c>
      <x:c r="B7" s="7" t="str">
        <x:v>CA_CORP</x:v>
      </x:c>
      <x:c r="C7" s="7" t="n">
        <x:v>-706950.3398291976</x:v>
      </x:c>
      <x:c r="D7" s="7" t="n">
        <x:v>-730544.465909304</x:v>
      </x:c>
      <x:c r="E7" s="7" t="n">
        <x:v>23594.1260801064</x:v>
      </x:c>
    </x:row>
    <x:row r="8" ht="22" customHeight="1">
      <x:c r="A8" s="7" t="str">
        <x:v>Parallel -100 bp</x:v>
      </x:c>
      <x:c r="B8" s="7" t="str">
        <x:v>CA_GOV</x:v>
      </x:c>
      <x:c r="C8" s="7" t="n">
        <x:v>1060712.5941559572</x:v>
      </x:c>
      <x:c r="D8" s="7" t="n">
        <x:v>1035137.527364611</x:v>
      </x:c>
      <x:c r="E8" s="7" t="n">
        <x:v>25575.0667913462</x:v>
      </x:c>
    </x:row>
    <x:row r="9" ht="22" customHeight="1">
      <x:c r="A9" s="7" t="str">
        <x:v>Parallel -100 bp</x:v>
      </x:c>
      <x:c r="B9" s="7" t="str">
        <x:v>CA_CORP</x:v>
      </x:c>
      <x:c r="C9" s="7" t="n">
        <x:v>755232.9597638436</x:v>
      </x:c>
      <x:c r="D9" s="7" t="n">
        <x:v>730544.465909304</x:v>
      </x:c>
      <x:c r="E9" s="7" t="n">
        <x:v>24688.4938545396</x:v>
      </x:c>
    </x:row>
    <x:row r="10" ht="22" customHeight="1">
      <x:c r="A10" s="7" t="str">
        <x:v>Bear steepener</x:v>
      </x:c>
      <x:c r="B10" s="7" t="str">
        <x:v>CA_GOV</x:v>
      </x:c>
      <x:c r="C10" s="7" t="n">
        <x:v>-426671.5925332829</x:v>
      </x:c>
      <x:c r="D10" s="7" t="n">
        <x:v>-431073.0508591046</x:v>
      </x:c>
      <x:c r="E10" s="7" t="n">
        <x:v>4401.4583258217</x:v>
      </x:c>
    </x:row>
    <x:row r="11" ht="22" customHeight="1">
      <x:c r="A11" s="7" t="str">
        <x:v>Bear steepener</x:v>
      </x:c>
      <x:c r="B11" s="7" t="str">
        <x:v>CA_CORP</x:v>
      </x:c>
      <x:c r="C11" s="7" t="n">
        <x:v>-353223.2995520275</x:v>
      </x:c>
      <x:c r="D11" s="7" t="n">
        <x:v>-359212.325615968</x:v>
      </x:c>
      <x:c r="E11" s="7" t="n">
        <x:v>5989.0260639405</x:v>
      </x:c>
    </x:row>
    <x:row r="12" ht="22" customHeight="1">
      <x:c r="A12" s="7" t="str">
        <x:v>Bull flattener</x:v>
      </x:c>
      <x:c r="B12" s="7" t="str">
        <x:v>CA_GOV</x:v>
      </x:c>
      <x:c r="C12" s="7" t="n">
        <x:v>365289.0689214294</x:v>
      </x:c>
      <x:c r="D12" s="7" t="n">
        <x:v>362157.5832519239</x:v>
      </x:c>
      <x:c r="E12" s="7" t="n">
        <x:v>3131.4856695055</x:v>
      </x:c>
    </x:row>
    <x:row r="13" ht="22" customHeight="1">
      <x:c r="A13" s="7" t="str">
        <x:v>Bull flattener</x:v>
      </x:c>
      <x:c r="B13" s="7" t="str">
        <x:v>CA_CORP</x:v>
      </x:c>
      <x:c r="C13" s="7" t="n">
        <x:v>292488.2422292012</x:v>
      </x:c>
      <x:c r="D13" s="7" t="n">
        <x:v>288581.8419605112</x:v>
      </x:c>
      <x:c r="E13" s="7" t="n">
        <x:v>3906.40026869</x:v>
      </x:c>
    </x:row>
  </x:sheetData>
  <x:pageMargins left="0.7" right="0.7" top="0.75" bottom="0.75" header="0.3" footer="0.3"/>
  <x:tableParts count="1">
    <x:tablePart xmlns:r="http://schemas.openxmlformats.org/officeDocument/2006/relationships" r:id="R9a58b8fe059a4105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27" hidden="0" customWidth="1"/>
    <x:col min="3" max="3" width="29" hidden="0" customWidth="1"/>
    <x:col min="5" max="5" width="37" hidden="0" customWidth="1"/>
    <x:col min="6" max="6" width="22" hidden="0" customWidth="1"/>
  </x:cols>
  <x:sheetData>
    <x:row r="1">
      <x:c r="A1" s="1"/>
      <x:c r="B1" s="1"/>
      <x:c r="C1" s="1"/>
    </x:row>
    <x:row r="2">
      <x:c r="A2" s="2" t="str">
        <x:v>Change in 99% one-day parametric VaR</x:v>
      </x:c>
      <x:c r="B2" s="1"/>
      <x:c r="C2" s="1"/>
    </x:row>
    <x:row r="3">
      <x:c r="A3" s="1" t="str">
        <x:v>2026-08-31 · CAD · Contains synthetic teaching data</x:v>
      </x:c>
      <x:c r="B3" s="1"/>
      <x:c r="C3" s="1"/>
    </x:row>
    <x:row r="4">
      <x:c r="A4" s="1"/>
      <x:c r="B4" s="1"/>
      <x:c r="C4" s="1"/>
    </x:row>
    <x:row r="5" ht="34" customHeight="1">
      <x:c r="A5" s="6" t="str">
        <x:v>Driver</x:v>
      </x:c>
      <x:c r="B5" s="6" t="str">
        <x:v>Allocated change (CAD)</x:v>
      </x:c>
      <x:c r="C5" s="6" t="str">
        <x:v>Standalone change (CAD)</x:v>
      </x:c>
      <x:c r="E5" t="str">
        <x:v>Reconciliation</x:v>
      </x:c>
      <x:c r="F5" t="str">
        <x:v>CAD</x:v>
      </x:c>
    </x:row>
    <x:row r="6" ht="22" customHeight="1">
      <x:c r="A6" s="7" t="str">
        <x:v>Positions / trades</x:v>
      </x:c>
      <x:c r="B6" s="7" t="n">
        <x:v>1978.3218863512</x:v>
      </x:c>
      <x:c r="C6" s="7" t="n">
        <x:v>1994.5604660092</x:v>
      </x:c>
      <x:c r="E6" t="str">
        <x:v>Prior VaR</x:v>
      </x:c>
      <x:c r="F6" s="15" t="n">
        <x:v>1368221.7097556104</x:v>
      </x:c>
    </x:row>
    <x:row r="7" ht="22" customHeight="1">
      <x:c r="A7" s="7" t="str">
        <x:v>Market prices</x:v>
      </x:c>
      <x:c r="B7" s="7" t="n">
        <x:v>-11218.9429724654</x:v>
      </x:c>
      <x:c r="C7" s="7" t="n">
        <x:v>-11254.7714505212</x:v>
      </x:c>
      <x:c r="E7" t="str">
        <x:v>Current VaR</x:v>
      </x:c>
      <x:c r="F7" s="15" t="n">
        <x:v>1354973.8744495406</x:v>
      </x:c>
    </x:row>
    <x:row r="8" ht="22" customHeight="1">
      <x:c r="A8" s="7" t="str">
        <x:v>FX levels</x:v>
      </x:c>
      <x:c r="B8" s="7" t="n">
        <x:v>3102.2515669977</x:v>
      </x:c>
      <x:c r="C8" s="7" t="n">
        <x:v>3121.6061221147</x:v>
      </x:c>
      <x:c r="E8" t="str">
        <x:v>Interactions already allocated</x:v>
      </x:c>
      <x:c r="F8" s="15" t="n">
        <x:v>50.93943903618492</x:v>
      </x:c>
    </x:row>
    <x:row r="9" ht="22" customHeight="1">
      <x:c r="A9" s="7" t="str">
        <x:v>Rates / spreads</x:v>
      </x:c>
      <x:c r="B9" s="7" t="n">
        <x:v>-64.2685882844</x:v>
      </x:c>
      <x:c r="C9" s="7" t="n">
        <x:v>-65.4463141658</x:v>
      </x:c>
      <x:c r="E9" t="str">
        <x:v>Numerical residual</x:v>
      </x:c>
      <x:c r="F9" s="15" t="n">
        <x:v>0</x:v>
      </x:c>
    </x:row>
    <x:row r="10" ht="22" customHeight="1">
      <x:c r="A10" s="7" t="str">
        <x:v>Option volatility levels</x:v>
      </x:c>
      <x:c r="B10" s="7" t="n">
        <x:v>427.6680396174</x:v>
      </x:c>
      <x:c r="C10" s="7" t="n">
        <x:v>393.6718027031</x:v>
      </x:c>
    </x:row>
    <x:row r="11" ht="22" customHeight="1">
      <x:c r="A11" s="7" t="str">
        <x:v>Equity / ETF volatility</x:v>
      </x:c>
      <x:c r="B11" s="7" t="n">
        <x:v>-4102.6165486507</x:v>
      </x:c>
      <x:c r="C11" s="7" t="n">
        <x:v>-4114.2202918786</x:v>
      </x:c>
    </x:row>
    <x:row r="12" ht="22" customHeight="1">
      <x:c r="A12" s="7" t="str">
        <x:v>FX volatility</x:v>
      </x:c>
      <x:c r="B12" s="7" t="n">
        <x:v>76.2618225311</x:v>
      </x:c>
      <x:c r="C12" s="7" t="n">
        <x:v>76.4890716169</x:v>
      </x:c>
    </x:row>
    <x:row r="13" ht="22" customHeight="1">
      <x:c r="A13" s="7" t="str">
        <x:v>Rate / spread volatility</x:v>
      </x:c>
      <x:c r="B13" s="7" t="n">
        <x:v>16.7407616162</x:v>
      </x:c>
      <x:c r="C13" s="7" t="n">
        <x:v>16.7771363438</x:v>
      </x:c>
    </x:row>
    <x:row r="14" ht="22" customHeight="1">
      <x:c r="A14" s="7" t="str">
        <x:v>Other factor volatility</x:v>
      </x:c>
      <x:c r="B14" s="7" t="n">
        <x:v>14.1807226851</x:v>
      </x:c>
      <x:c r="C14" s="7" t="n">
        <x:v>14.5599951916</x:v>
      </x:c>
    </x:row>
    <x:row r="15" ht="22" customHeight="1">
      <x:c r="A15" s="7" t="str">
        <x:v>Correlation</x:v>
      </x:c>
      <x:c r="B15" s="7" t="n">
        <x:v>-3429.512939957</x:v>
      </x:c>
      <x:c r="C15" s="7" t="n">
        <x:v>-3437.4855317825</x:v>
      </x:c>
    </x:row>
    <x:row r="16" ht="22" customHeight="1">
      <x:c r="A16" s="7" t="str">
        <x:v>Valuation date / roll</x:v>
      </x:c>
      <x:c r="B16" s="7" t="n">
        <x:v>-47.919056511</x:v>
      </x:c>
      <x:c r="C16" s="7" t="n">
        <x:v>-44.5157507372</x:v>
      </x:c>
    </x:row>
  </x:sheetData>
  <x:pageMargins left="0.7" right="0.7" top="0.75" bottom="0.75" header="0.3" footer="0.3"/>
  <x:tableParts count="1">
    <x:tablePart xmlns:r="http://schemas.openxmlformats.org/officeDocument/2006/relationships" r:id="R1bd3142ff052418c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7" hidden="0" customWidth="1"/>
    <x:col min="2" max="2" width="14" hidden="0" customWidth="1"/>
    <x:col min="3" max="3" width="20" hidden="0" customWidth="1"/>
    <x:col min="4" max="4" width="68" hidden="0" customWidth="1"/>
    <x:col min="5" max="5" width="60" hidden="0" customWidth="1"/>
  </x:cols>
  <x:sheetData>
    <x:row r="1">
      <x:c r="A1" s="1"/>
      <x:c r="B1" s="1"/>
      <x:c r="C1" s="1"/>
      <x:c r="D1" s="1"/>
      <x:c r="E1" s="1"/>
    </x:row>
    <x:row r="2">
      <x:c r="A2" s="2" t="str">
        <x:v>Operational controls</x:v>
      </x:c>
      <x:c r="B2" s="1"/>
      <x:c r="C2" s="1"/>
      <x:c r="D2" s="1"/>
      <x:c r="E2" s="1"/>
    </x:row>
    <x:row r="3">
      <x:c r="A3" s="1" t="str">
        <x:v>2026-08-31 · CAD · Contains synthetic teaching data</x:v>
      </x:c>
      <x:c r="B3" s="1"/>
      <x:c r="C3" s="1"/>
      <x:c r="D3" s="1"/>
      <x:c r="E3" s="1"/>
    </x:row>
    <x:row r="4">
      <x:c r="A4" s="1"/>
      <x:c r="B4" s="1"/>
      <x:c r="C4" s="1"/>
      <x:c r="D4" s="1"/>
      <x:c r="E4" s="1"/>
    </x:row>
    <x:row r="5" ht="34" customHeight="1">
      <x:c r="A5" s="6" t="str">
        <x:v>Check</x:v>
      </x:c>
      <x:c r="B5" s="6" t="str">
        <x:v>Severity</x:v>
      </x:c>
      <x:c r="C5" s="6" t="str">
        <x:v>Record</x:v>
      </x:c>
      <x:c r="D5" s="6" t="str">
        <x:v>Description</x:v>
      </x:c>
      <x:c r="E5" s="6" t="str">
        <x:v>Action</x:v>
      </x:c>
    </x:row>
    <x:row r="6" ht="22" customHeight="1">
      <x:c r="A6" s="7" t="str">
        <x:v>DATA_PROVENANCE</x:v>
      </x:c>
      <x:c r="B6" s="7" t="str">
        <x:v>WARN</x:v>
      </x:c>
      <x:c r="C6" s="7" t="str">
        <x:v>dataset</x:v>
      </x:c>
      <x:c r="D6" s="7" t="str">
        <x:v>Contains explicitly synthetic teaching data</x:v>
      </x:c>
      <x:c r="E6" s="7" t="str">
        <x:v>Use real imports for empirical market conclusions</x:v>
      </x:c>
    </x:row>
    <x:row r="7" ht="22" customHeight="1">
      <x:c r="A7" s="7" t="str">
        <x:v>DUPLICATE_TRADE</x:v>
      </x:c>
      <x:c r="B7" s="7" t="str">
        <x:v>PASS</x:v>
      </x:c>
      <x:c r="C7" s="7" t="str">
        <x:v>portfolio</x:v>
      </x:c>
      <x:c r="D7" s="7" t="str">
        <x:v>No exceptions in evaluated scope</x:v>
      </x:c>
      <x:c r="E7" s="7" t="str"/>
    </x:row>
    <x:row r="8" ht="22" customHeight="1">
      <x:c r="A8" s="7" t="str">
        <x:v>SECURITY_MAPPING</x:v>
      </x:c>
      <x:c r="B8" s="7" t="str">
        <x:v>PASS</x:v>
      </x:c>
      <x:c r="C8" s="7" t="str">
        <x:v>portfolio</x:v>
      </x:c>
      <x:c r="D8" s="7" t="str">
        <x:v>No exceptions in evaluated scope</x:v>
      </x:c>
      <x:c r="E8" s="7" t="str"/>
    </x:row>
    <x:row r="9" ht="22" customHeight="1">
      <x:c r="A9" s="7" t="str">
        <x:v>TRADE_TERMS</x:v>
      </x:c>
      <x:c r="B9" s="7" t="str">
        <x:v>PASS</x:v>
      </x:c>
      <x:c r="C9" s="7" t="str">
        <x:v>portfolio</x:v>
      </x:c>
      <x:c r="D9" s="7" t="str">
        <x:v>No exceptions in evaluated scope</x:v>
      </x:c>
      <x:c r="E9" s="7" t="str"/>
    </x:row>
    <x:row r="10" ht="22" customHeight="1">
      <x:c r="A10" s="7" t="str">
        <x:v>CASH_RECON</x:v>
      </x:c>
      <x:c r="B10" s="7" t="str">
        <x:v>PASS</x:v>
      </x:c>
      <x:c r="C10" s="7" t="str">
        <x:v>portfolio</x:v>
      </x:c>
      <x:c r="D10" s="7" t="str">
        <x:v>No exceptions in evaluated scope</x:v>
      </x:c>
      <x:c r="E10" s="7" t="str"/>
    </x:row>
    <x:row r="11" ht="22" customHeight="1">
      <x:c r="A11" s="7" t="str">
        <x:v>BOND_TERMS</x:v>
      </x:c>
      <x:c r="B11" s="7" t="str">
        <x:v>PASS</x:v>
      </x:c>
      <x:c r="C11" s="7" t="str">
        <x:v>portfolio</x:v>
      </x:c>
      <x:c r="D11" s="7" t="str">
        <x:v>No exceptions in evaluated scope</x:v>
      </x:c>
      <x:c r="E11" s="7" t="str"/>
    </x:row>
    <x:row r="12" ht="22" customHeight="1">
      <x:c r="A12" s="7" t="str">
        <x:v>OPTION_TERMS</x:v>
      </x:c>
      <x:c r="B12" s="7" t="str">
        <x:v>PASS</x:v>
      </x:c>
      <x:c r="C12" s="7" t="str">
        <x:v>portfolio</x:v>
      </x:c>
      <x:c r="D12" s="7" t="str">
        <x:v>No exceptions in evaluated scope</x:v>
      </x:c>
      <x:c r="E12" s="7" t="str"/>
    </x:row>
    <x:row r="13" ht="22" customHeight="1">
      <x:c r="A13" s="7" t="str">
        <x:v>CLASSIFICATION</x:v>
      </x:c>
      <x:c r="B13" s="7" t="str">
        <x:v>PASS</x:v>
      </x:c>
      <x:c r="C13" s="7" t="str">
        <x:v>portfolio</x:v>
      </x:c>
      <x:c r="D13" s="7" t="str">
        <x:v>No exceptions in evaluated scope</x:v>
      </x:c>
      <x:c r="E13" s="7" t="str"/>
    </x:row>
    <x:row r="14" ht="22" customHeight="1">
      <x:c r="A14" s="7" t="str">
        <x:v>MISSING_PRICE</x:v>
      </x:c>
      <x:c r="B14" s="7" t="str">
        <x:v>PASS</x:v>
      </x:c>
      <x:c r="C14" s="7" t="str">
        <x:v>portfolio</x:v>
      </x:c>
      <x:c r="D14" s="7" t="str">
        <x:v>No exceptions in evaluated scope</x:v>
      </x:c>
      <x:c r="E14" s="7" t="str"/>
    </x:row>
    <x:row r="15" ht="22" customHeight="1">
      <x:c r="A15" s="7" t="str">
        <x:v>STALE_PRICE</x:v>
      </x:c>
      <x:c r="B15" s="7" t="str">
        <x:v>PASS</x:v>
      </x:c>
      <x:c r="C15" s="7" t="str">
        <x:v>portfolio</x:v>
      </x:c>
      <x:c r="D15" s="7" t="str">
        <x:v>No exceptions in evaluated scope</x:v>
      </x:c>
      <x:c r="E15" s="7" t="str"/>
    </x:row>
    <x:row r="16" ht="22" customHeight="1">
      <x:c r="A16" s="7" t="str">
        <x:v>MISSING_FX</x:v>
      </x:c>
      <x:c r="B16" s="7" t="str">
        <x:v>PASS</x:v>
      </x:c>
      <x:c r="C16" s="7" t="str">
        <x:v>portfolio</x:v>
      </x:c>
      <x:c r="D16" s="7" t="str">
        <x:v>No exceptions in evaluated scope</x:v>
      </x:c>
      <x:c r="E16" s="7" t="str"/>
    </x:row>
    <x:row r="17" ht="22" customHeight="1">
      <x:c r="A17" s="7" t="str">
        <x:v>STALE_FX</x:v>
      </x:c>
      <x:c r="B17" s="7" t="str">
        <x:v>PASS</x:v>
      </x:c>
      <x:c r="C17" s="7" t="str">
        <x:v>portfolio</x:v>
      </x:c>
      <x:c r="D17" s="7" t="str">
        <x:v>No exceptions in evaluated scope</x:v>
      </x:c>
      <x:c r="E17" s="7" t="str"/>
    </x:row>
    <x:row r="18" ht="22" customHeight="1">
      <x:c r="A18" s="7" t="str">
        <x:v>MISSING_FACTOR</x:v>
      </x:c>
      <x:c r="B18" s="7" t="str">
        <x:v>PASS</x:v>
      </x:c>
      <x:c r="C18" s="7" t="str">
        <x:v>portfolio</x:v>
      </x:c>
      <x:c r="D18" s="7" t="str">
        <x:v>No exceptions in evaluated scope</x:v>
      </x:c>
      <x:c r="E18" s="7" t="str"/>
    </x:row>
    <x:row r="19" ht="22" customHeight="1">
      <x:c r="A19" s="7" t="str">
        <x:v>STALE_FACTOR</x:v>
      </x:c>
      <x:c r="B19" s="7" t="str">
        <x:v>PASS</x:v>
      </x:c>
      <x:c r="C19" s="7" t="str">
        <x:v>portfolio</x:v>
      </x:c>
      <x:c r="D19" s="7" t="str">
        <x:v>No exceptions in evaluated scope</x:v>
      </x:c>
      <x:c r="E19" s="7" t="str"/>
    </x:row>
    <x:row r="20" ht="22" customHeight="1">
      <x:c r="A20" s="7" t="str">
        <x:v>CURVE_DATA</x:v>
      </x:c>
      <x:c r="B20" s="7" t="str">
        <x:v>PASS</x:v>
      </x:c>
      <x:c r="C20" s="7" t="str">
        <x:v>portfolio</x:v>
      </x:c>
      <x:c r="D20" s="7" t="str">
        <x:v>No exceptions in evaluated scope</x:v>
      </x:c>
      <x:c r="E20" s="7" t="str"/>
    </x:row>
    <x:row r="21" ht="22" customHeight="1">
      <x:c r="A21" s="7" t="str">
        <x:v>FACTOR_CONSISTENCY</x:v>
      </x:c>
      <x:c r="B21" s="7" t="str">
        <x:v>PASS</x:v>
      </x:c>
      <x:c r="C21" s="7" t="str">
        <x:v>portfolio</x:v>
      </x:c>
      <x:c r="D21" s="7" t="str">
        <x:v>No exceptions in evaluated scope</x:v>
      </x:c>
      <x:c r="E21" s="7" t="str"/>
    </x:row>
    <x:row r="22" ht="22" customHeight="1">
      <x:c r="A22" s="7" t="str">
        <x:v>RETURN_HISTORY</x:v>
      </x:c>
      <x:c r="B22" s="7" t="str">
        <x:v>PASS</x:v>
      </x:c>
      <x:c r="C22" s="7" t="str">
        <x:v>portfolio</x:v>
      </x:c>
      <x:c r="D22" s="7" t="str">
        <x:v>No exceptions in evaluated scope</x:v>
      </x:c>
      <x:c r="E22" s="7" t="str"/>
    </x:row>
    <x:row r="23" ht="22" customHeight="1">
      <x:c r="A23" s="7" t="str">
        <x:v>OUTLIER</x:v>
      </x:c>
      <x:c r="B23" s="7" t="str">
        <x:v>PASS</x:v>
      </x:c>
      <x:c r="C23" s="7" t="str">
        <x:v>portfolio</x:v>
      </x:c>
      <x:c r="D23" s="7" t="str">
        <x:v>No exceptions in evaluated scope</x:v>
      </x:c>
      <x:c r="E23" s="7" t="str"/>
    </x:row>
    <x:row r="24" ht="22" customHeight="1">
      <x:c r="A24" s="7" t="str">
        <x:v>SHORT_POSITION</x:v>
      </x:c>
      <x:c r="B24" s="7" t="str">
        <x:v>PASS</x:v>
      </x:c>
      <x:c r="C24" s="7" t="str">
        <x:v>portfolio</x:v>
      </x:c>
      <x:c r="D24" s="7" t="str">
        <x:v>No exceptions in evaluated scope</x:v>
      </x:c>
      <x:c r="E24" s="7" t="str"/>
    </x:row>
    <x:row r="25" ht="22" customHeight="1">
      <x:c r="A25" s="7" t="str">
        <x:v>POSITION_RECON</x:v>
      </x:c>
      <x:c r="B25" s="7" t="str">
        <x:v>PASS</x:v>
      </x:c>
      <x:c r="C25" s="7" t="str">
        <x:v>portfolio</x:v>
      </x:c>
      <x:c r="D25" s="7" t="str">
        <x:v>No exceptions in evaluated scope</x:v>
      </x:c>
      <x:c r="E25" s="7" t="str"/>
    </x:row>
    <x:row r="26" ht="22" customHeight="1">
      <x:c r="A26" s="7" t="str">
        <x:v>VALUE_RECON</x:v>
      </x:c>
      <x:c r="B26" s="7" t="str">
        <x:v>PASS</x:v>
      </x:c>
      <x:c r="C26" s="7" t="str">
        <x:v>portfolio</x:v>
      </x:c>
      <x:c r="D26" s="7" t="str">
        <x:v>No exceptions in evaluated scope</x:v>
      </x:c>
      <x:c r="E26" s="7" t="str"/>
    </x:row>
  </x:sheetData>
  <x:conditionalFormatting sqref="B6:B26">
    <x:cfRule type="containsText" dxfId="0" priority="1" operator="containsText" text="FAIL"/>
    <x:cfRule type="containsText" dxfId="1" priority="2" operator="containsText" text="WARN"/>
  </x:conditionalFormatting>
  <x:pageMargins left="0.7" right="0.7" top="0.75" bottom="0.75" header="0.3" footer="0.3"/>
  <x:tableParts count="1">
    <x:tablePart xmlns:r="http://schemas.openxmlformats.org/officeDocument/2006/relationships" r:id="R55c33d6bc3664b4e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16" hidden="0" customWidth="1"/>
    <x:col min="5" max="5" width="17" hidden="0" customWidth="1"/>
    <x:col min="6" max="6" width="22" hidden="0" customWidth="1"/>
    <x:col min="7" max="7" width="15" hidden="0" customWidth="1"/>
    <x:col min="8" max="8" width="26" hidden="0" customWidth="1"/>
    <x:col min="9" max="9" width="1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>
      <x:c r="A2" s="2" t="str">
        <x:v>Position valuation (CAD)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1" t="str">
        <x:v>2026-08-31 · CAD · Contains synthetic teaching data</x:v>
      </x:c>
      <x:c r="B3" s="1"/>
      <x:c r="C3" s="1"/>
      <x:c r="D3" s="1"/>
      <x:c r="E3" s="1"/>
      <x:c r="F3" s="1"/>
      <x:c r="G3" s="1"/>
      <x:c r="H3" s="1"/>
      <x:c r="I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 ht="34" customHeight="1">
      <x:c r="A5" s="6" t="str">
        <x:v>Security</x:v>
      </x:c>
      <x:c r="B5" s="6" t="str">
        <x:v>Quantity</x:v>
      </x:c>
      <x:c r="C5" s="6" t="str">
        <x:v>Local price</x:v>
      </x:c>
      <x:c r="D5" s="6" t="str">
        <x:v>Multiplier</x:v>
      </x:c>
      <x:c r="E5" s="6" t="str">
        <x:v>FX to CAD</x:v>
      </x:c>
      <x:c r="F5" s="6" t="str">
        <x:v>Market value</x:v>
      </x:c>
      <x:c r="G5" s="6" t="str">
        <x:v>Weight</x:v>
      </x:c>
      <x:c r="H5" s="6" t="str">
        <x:v>Asset class</x:v>
      </x:c>
      <x:c r="I5" s="6" t="str">
        <x:v>Currency</x:v>
      </x:c>
    </x:row>
    <x:row r="6" ht="22" customHeight="1">
      <x:c r="A6" s="7" t="str">
        <x:v>CAD_CASH</x:v>
      </x:c>
      <x:c r="B6" s="10" t="n">
        <x:v>6585000</x:v>
      </x:c>
      <x:c r="C6" s="10" t="n">
        <x:v>1</x:v>
      </x:c>
      <x:c r="D6" s="10" t="n">
        <x:v>1</x:v>
      </x:c>
      <x:c r="E6" s="10" t="n">
        <x:v>1</x:v>
      </x:c>
      <x:c r="F6" s="7" t="n">
        <x:f>B6*C6*D6*E6</x:f>
        <x:v>6585000</x:v>
      </x:c>
      <x:c r="G6" s="9" t="n">
        <x:f>F6/SUM($F$6:$F$13)</x:f>
        <x:v>0.06494690300934707</x:v>
      </x:c>
      <x:c r="H6" s="11" t="str">
        <x:f>XLOOKUP(A6,'Security Master'!$A$6:$A$13,'Security Master'!$D$6:$D$13,"Unmapped",0)</x:f>
        <x:v>Cash</x:v>
      </x:c>
      <x:c r="I6" s="7" t="str">
        <x:v>CAD</x:v>
      </x:c>
    </x:row>
    <x:row r="7" ht="22" customHeight="1">
      <x:c r="A7" s="7" t="str">
        <x:v>CA_CORP</x:v>
      </x:c>
      <x:c r="B7" s="10" t="n">
        <x:v>120000</x:v>
      </x:c>
      <x:c r="C7" s="10" t="n">
        <x:v>101.431347041</x:v>
      </x:c>
      <x:c r="D7" s="10" t="n">
        <x:v>1</x:v>
      </x:c>
      <x:c r="E7" s="10" t="n">
        <x:v>1</x:v>
      </x:c>
      <x:c r="F7" s="7" t="n">
        <x:f>B7*C7*D7*E7</x:f>
        <x:v>12171761.644919999</x:v>
      </x:c>
      <x:c r="G7" s="9" t="n">
        <x:f>F7/SUM($F$6:$F$13)</x:f>
        <x:v>0.12004832543743504</x:v>
      </x:c>
      <x:c r="H7" s="11" t="str">
        <x:f>XLOOKUP(A7,'Security Master'!$A$6:$A$13,'Security Master'!$D$6:$D$13,"Unmapped",0)</x:f>
        <x:v>Corporate bond</x:v>
      </x:c>
      <x:c r="I7" s="7" t="str">
        <x:v>CAD</x:v>
      </x:c>
    </x:row>
    <x:row r="8" ht="22" customHeight="1">
      <x:c r="A8" s="7" t="str">
        <x:v>CA_EQ</x:v>
      </x:c>
      <x:c r="B8" s="10" t="n">
        <x:v>251000</x:v>
      </x:c>
      <x:c r="C8" s="10" t="n">
        <x:v>100</x:v>
      </x:c>
      <x:c r="D8" s="10" t="n">
        <x:v>1</x:v>
      </x:c>
      <x:c r="E8" s="10" t="n">
        <x:v>1</x:v>
      </x:c>
      <x:c r="F8" s="7" t="n">
        <x:f>B8*C8*D8*E8</x:f>
        <x:v>25100000</x:v>
      </x:c>
      <x:c r="G8" s="9" t="n">
        <x:f>F8/SUM($F$6:$F$13)</x:f>
        <x:v>0.24755767130366152</x:v>
      </x:c>
      <x:c r="H8" s="11" t="str">
        <x:f>XLOOKUP(A8,'Security Master'!$A$6:$A$13,'Security Master'!$D$6:$D$13,"Unmapped",0)</x:f>
        <x:v>Equity</x:v>
      </x:c>
      <x:c r="I8" s="7" t="str">
        <x:v>CAD</x:v>
      </x:c>
    </x:row>
    <x:row r="9" ht="22" customHeight="1">
      <x:c r="A9" s="7" t="str">
        <x:v>CA_GOV</x:v>
      </x:c>
      <x:c r="B9" s="10" t="n">
        <x:v>220000</x:v>
      </x:c>
      <x:c r="C9" s="10" t="n">
        <x:v>101.5041045526</x:v>
      </x:c>
      <x:c r="D9" s="10" t="n">
        <x:v>1</x:v>
      </x:c>
      <x:c r="E9" s="10" t="n">
        <x:v>1</x:v>
      </x:c>
      <x:c r="F9" s="7" t="n">
        <x:f>B9*C9*D9*E9</x:f>
        <x:v>22330903.001571998</x:v>
      </x:c>
      <x:c r="G9" s="9" t="n">
        <x:f>F9/SUM($F$6:$F$13)</x:f>
        <x:v>0.220246467935343</x:v>
      </x:c>
      <x:c r="H9" s="11" t="str">
        <x:f>XLOOKUP(A9,'Security Master'!$A$6:$A$13,'Security Master'!$D$6:$D$13,"Unmapped",0)</x:f>
        <x:v>Government bond</x:v>
      </x:c>
      <x:c r="I9" s="7" t="str">
        <x:v>CAD</x:v>
      </x:c>
    </x:row>
    <x:row r="10" ht="22" customHeight="1">
      <x:c r="A10" s="7" t="str">
        <x:v>USD_CASH</x:v>
      </x:c>
      <x:c r="B10" s="10" t="n">
        <x:v>2000000</x:v>
      </x:c>
      <x:c r="C10" s="10" t="n">
        <x:v>1</x:v>
      </x:c>
      <x:c r="D10" s="10" t="n">
        <x:v>1</x:v>
      </x:c>
      <x:c r="E10" s="10" t="n">
        <x:v>1.36</x:v>
      </x:c>
      <x:c r="F10" s="7" t="n">
        <x:f>B10*C10*D10*E10</x:f>
        <x:v>2720000</x:v>
      </x:c>
      <x:c r="G10" s="9" t="n">
        <x:f>F10/SUM($F$6:$F$13)</x:f>
        <x:v>0.026826966770755353</x:v>
      </x:c>
      <x:c r="H10" s="11" t="str">
        <x:f>XLOOKUP(A10,'Security Master'!$A$6:$A$13,'Security Master'!$D$6:$D$13,"Unmapped",0)</x:f>
        <x:v>Cash</x:v>
      </x:c>
      <x:c r="I10" s="7" t="str">
        <x:v>USD</x:v>
      </x:c>
    </x:row>
    <x:row r="11" ht="22" customHeight="1">
      <x:c r="A11" s="7" t="str">
        <x:v>US_CALL</x:v>
      </x:c>
      <x:c r="B11" s="10" t="n">
        <x:v>100</x:v>
      </x:c>
      <x:c r="C11" s="10" t="n">
        <x:v>20.9449425919</x:v>
      </x:c>
      <x:c r="D11" s="10" t="n">
        <x:v>100</x:v>
      </x:c>
      <x:c r="E11" s="10" t="n">
        <x:v>1.36</x:v>
      </x:c>
      <x:c r="F11" s="7" t="n">
        <x:f>B11*C11*D11*E11</x:f>
        <x:v>284851.21924984</x:v>
      </x:c>
      <x:c r="G11" s="9" t="n">
        <x:f>F11/SUM($F$6:$F$13)</x:f>
        <x:v>0.002809446394641399</x:v>
      </x:c>
      <x:c r="H11" s="11" t="str">
        <x:f>XLOOKUP(A11,'Security Master'!$A$6:$A$13,'Security Master'!$D$6:$D$13,"Unmapped",0)</x:f>
        <x:v>Option</x:v>
      </x:c>
      <x:c r="I11" s="7" t="str">
        <x:v>USD</x:v>
      </x:c>
    </x:row>
    <x:row r="12" ht="22" customHeight="1">
      <x:c r="A12" s="7" t="str">
        <x:v>US_EQ</x:v>
      </x:c>
      <x:c r="B12" s="10" t="n">
        <x:v>70000</x:v>
      </x:c>
      <x:c r="C12" s="10" t="n">
        <x:v>250</x:v>
      </x:c>
      <x:c r="D12" s="10" t="n">
        <x:v>1</x:v>
      </x:c>
      <x:c r="E12" s="10" t="n">
        <x:v>1.36</x:v>
      </x:c>
      <x:c r="F12" s="7" t="n">
        <x:f>B12*C12*D12*E12</x:f>
        <x:v>23800000</x:v>
      </x:c>
      <x:c r="G12" s="9" t="n">
        <x:f>F12/SUM($F$6:$F$13)</x:f>
        <x:v>0.23473595924410934</x:v>
      </x:c>
      <x:c r="H12" s="11" t="str">
        <x:f>XLOOKUP(A12,'Security Master'!$A$6:$A$13,'Security Master'!$D$6:$D$13,"Unmapped",0)</x:f>
        <x:v>Equity</x:v>
      </x:c>
      <x:c r="I12" s="7" t="str">
        <x:v>USD</x:v>
      </x:c>
    </x:row>
    <x:row r="13" ht="22" customHeight="1">
      <x:c r="A13" s="7" t="str">
        <x:v>US_ETF</x:v>
      </x:c>
      <x:c r="B13" s="10" t="n">
        <x:v>65000</x:v>
      </x:c>
      <x:c r="C13" s="10" t="n">
        <x:v>95</x:v>
      </x:c>
      <x:c r="D13" s="10" t="n">
        <x:v>1</x:v>
      </x:c>
      <x:c r="E13" s="10" t="n">
        <x:v>1.36</x:v>
      </x:c>
      <x:c r="F13" s="7" t="n">
        <x:f>B13*C13*D13*E13</x:f>
        <x:v>8398000</x:v>
      </x:c>
      <x:c r="G13" s="9" t="n">
        <x:f>F13/SUM($F$6:$F$13)</x:f>
        <x:v>0.08282825990470716</x:v>
      </x:c>
      <x:c r="H13" s="11" t="str">
        <x:f>XLOOKUP(A13,'Security Master'!$A$6:$A$13,'Security Master'!$D$6:$D$13,"Unmapped",0)</x:f>
        <x:v>Fixed income ETF</x:v>
      </x:c>
      <x:c r="I13" s="7" t="str">
        <x:v>USD</x:v>
      </x:c>
    </x:row>
  </x:sheetData>
  <x:pageMargins left="0.7" right="0.7" top="0.75" bottom="0.75" header="0.3" footer="0.3"/>
  <x:tableParts count="1">
    <x:tablePart xmlns:r="http://schemas.openxmlformats.org/officeDocument/2006/relationships" r:id="R9d55113e920e403c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9" hidden="0" customWidth="1"/>
    <x:col min="2" max="2" width="20" hidden="0" customWidth="1"/>
    <x:col min="3" max="3" width="19" hidden="0" customWidth="1"/>
    <x:col min="4" max="4" width="21" hidden="0" customWidth="1"/>
    <x:col min="5" max="5" width="22" hidden="0" customWidth="1"/>
    <x:col min="6" max="6" width="18" hidden="0" customWidth="1"/>
    <x:col min="7" max="7" width="15" hidden="0" customWidth="1"/>
    <x:col min="8" max="8" width="18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>
      <x:c r="A2" s="2" t="str">
        <x:v>Trade and cash ledger</x:v>
      </x:c>
      <x:c r="B2" s="1"/>
      <x:c r="C2" s="1"/>
      <x:c r="D2" s="1"/>
      <x:c r="E2" s="1"/>
      <x:c r="F2" s="1"/>
      <x:c r="G2" s="1"/>
      <x:c r="H2" s="1"/>
    </x:row>
    <x:row r="3">
      <x:c r="A3" s="1" t="str">
        <x:v>2026-08-31 · CAD · Contains synthetic teaching data</x:v>
      </x:c>
      <x:c r="B3" s="1"/>
      <x:c r="C3" s="1"/>
      <x:c r="D3" s="1"/>
      <x:c r="E3" s="1"/>
      <x:c r="F3" s="1"/>
      <x:c r="G3" s="1"/>
      <x:c r="H3" s="1"/>
    </x:row>
    <x:row r="4">
      <x:c r="A4" s="1"/>
      <x:c r="B4" s="1"/>
      <x:c r="C4" s="1"/>
      <x:c r="D4" s="1"/>
      <x:c r="E4" s="1"/>
      <x:c r="F4" s="1"/>
      <x:c r="G4" s="1"/>
      <x:c r="H4" s="1"/>
    </x:row>
    <x:row r="5" ht="34" customHeight="1">
      <x:c r="A5" s="6" t="str">
        <x:v>Trade ID</x:v>
      </x:c>
      <x:c r="B5" s="6" t="str">
        <x:v>Security</x:v>
      </x:c>
      <x:c r="C5" s="6" t="str">
        <x:v>Trade date</x:v>
      </x:c>
      <x:c r="D5" s="6" t="str">
        <x:v>Settlement date</x:v>
      </x:c>
      <x:c r="E5" s="6" t="str">
        <x:v>Quantity</x:v>
      </x:c>
      <x:c r="F5" s="6" t="str">
        <x:v>Price</x:v>
      </x:c>
      <x:c r="G5" s="6" t="str">
        <x:v>Currency</x:v>
      </x:c>
      <x:c r="H5" s="6" t="str">
        <x:v>Type</x:v>
      </x:c>
    </x:row>
    <x:row r="6" ht="22" customHeight="1">
      <x:c r="A6" s="7" t="str">
        <x:v>OPEN-0</x:v>
      </x:c>
      <x:c r="B6" s="7" t="str">
        <x:v>CA_EQ</x:v>
      </x:c>
      <x:c r="C6" s="8" t="n">
        <x:v>45659</x:v>
      </x:c>
      <x:c r="D6" s="8" t="n">
        <x:v>45659</x:v>
      </x:c>
      <x:c r="E6" s="7" t="n">
        <x:v>250000</x:v>
      </x:c>
      <x:c r="F6" s="7" t="n">
        <x:v>97.8574025338</x:v>
      </x:c>
      <x:c r="G6" s="7" t="str">
        <x:v>CAD</x:v>
      </x:c>
      <x:c r="H6" s="7" t="str">
        <x:v>opening</x:v>
      </x:c>
    </x:row>
    <x:row r="7" ht="22" customHeight="1">
      <x:c r="A7" s="7" t="str">
        <x:v>OPEN-1</x:v>
      </x:c>
      <x:c r="B7" s="7" t="str">
        <x:v>US_EQ</x:v>
      </x:c>
      <x:c r="C7" s="8" t="n">
        <x:v>45659</x:v>
      </x:c>
      <x:c r="D7" s="8" t="n">
        <x:v>45659</x:v>
      </x:c>
      <x:c r="E7" s="7" t="n">
        <x:v>70000</x:v>
      </x:c>
      <x:c r="F7" s="7" t="n">
        <x:v>266.0945933767</x:v>
      </x:c>
      <x:c r="G7" s="7" t="str">
        <x:v>USD</x:v>
      </x:c>
      <x:c r="H7" s="7" t="str">
        <x:v>opening</x:v>
      </x:c>
    </x:row>
    <x:row r="8" ht="22" customHeight="1">
      <x:c r="A8" s="7" t="str">
        <x:v>OPEN-2</x:v>
      </x:c>
      <x:c r="B8" s="7" t="str">
        <x:v>US_ETF</x:v>
      </x:c>
      <x:c r="C8" s="8" t="n">
        <x:v>45659</x:v>
      </x:c>
      <x:c r="D8" s="8" t="n">
        <x:v>45659</x:v>
      </x:c>
      <x:c r="E8" s="7" t="n">
        <x:v>65000</x:v>
      </x:c>
      <x:c r="F8" s="7" t="n">
        <x:v>98.8073807047</x:v>
      </x:c>
      <x:c r="G8" s="7" t="str">
        <x:v>USD</x:v>
      </x:c>
      <x:c r="H8" s="7" t="str">
        <x:v>opening</x:v>
      </x:c>
    </x:row>
    <x:row r="9" ht="22" customHeight="1">
      <x:c r="A9" s="7" t="str">
        <x:v>OPEN-3</x:v>
      </x:c>
      <x:c r="B9" s="7" t="str">
        <x:v>CA_GOV</x:v>
      </x:c>
      <x:c r="C9" s="8" t="n">
        <x:v>45659</x:v>
      </x:c>
      <x:c r="D9" s="8" t="n">
        <x:v>45659</x:v>
      </x:c>
      <x:c r="E9" s="7" t="n">
        <x:v>220000</x:v>
      </x:c>
      <x:c r="F9" s="7" t="n">
        <x:v>100</x:v>
      </x:c>
      <x:c r="G9" s="7" t="str">
        <x:v>CAD</x:v>
      </x:c>
      <x:c r="H9" s="7" t="str">
        <x:v>opening</x:v>
      </x:c>
    </x:row>
    <x:row r="10" ht="22" customHeight="1">
      <x:c r="A10" s="7" t="str">
        <x:v>OPEN-4</x:v>
      </x:c>
      <x:c r="B10" s="7" t="str">
        <x:v>CA_CORP</x:v>
      </x:c>
      <x:c r="C10" s="8" t="n">
        <x:v>45659</x:v>
      </x:c>
      <x:c r="D10" s="8" t="n">
        <x:v>45659</x:v>
      </x:c>
      <x:c r="E10" s="7" t="n">
        <x:v>120000</x:v>
      </x:c>
      <x:c r="F10" s="7" t="n">
        <x:v>100</x:v>
      </x:c>
      <x:c r="G10" s="7" t="str">
        <x:v>CAD</x:v>
      </x:c>
      <x:c r="H10" s="7" t="str">
        <x:v>opening</x:v>
      </x:c>
    </x:row>
    <x:row r="11" ht="22" customHeight="1">
      <x:c r="A11" s="7" t="str">
        <x:v>OPEN-5</x:v>
      </x:c>
      <x:c r="B11" s="7" t="str">
        <x:v>US_CALL</x:v>
      </x:c>
      <x:c r="C11" s="8" t="n">
        <x:v>45659</x:v>
      </x:c>
      <x:c r="D11" s="8" t="n">
        <x:v>45659</x:v>
      </x:c>
      <x:c r="E11" s="7" t="n">
        <x:v>100</x:v>
      </x:c>
      <x:c r="F11" s="7" t="n">
        <x:v>1</x:v>
      </x:c>
      <x:c r="G11" s="7" t="str">
        <x:v>USD</x:v>
      </x:c>
      <x:c r="H11" s="7" t="str">
        <x:v>opening</x:v>
      </x:c>
    </x:row>
    <x:row r="12" ht="22" customHeight="1">
      <x:c r="A12" s="7" t="str">
        <x:v>OPEN-6</x:v>
      </x:c>
      <x:c r="B12" s="7" t="str">
        <x:v>CAD_CASH</x:v>
      </x:c>
      <x:c r="C12" s="8" t="n">
        <x:v>45659</x:v>
      </x:c>
      <x:c r="D12" s="8" t="n">
        <x:v>45659</x:v>
      </x:c>
      <x:c r="E12" s="7" t="n">
        <x:v>6000000</x:v>
      </x:c>
      <x:c r="F12" s="7" t="n">
        <x:v>1</x:v>
      </x:c>
      <x:c r="G12" s="7" t="str">
        <x:v>CAD</x:v>
      </x:c>
      <x:c r="H12" s="7" t="str">
        <x:v>opening</x:v>
      </x:c>
    </x:row>
    <x:row r="13" ht="22" customHeight="1">
      <x:c r="A13" s="7" t="str">
        <x:v>OPEN-7</x:v>
      </x:c>
      <x:c r="B13" s="7" t="str">
        <x:v>USD_CASH</x:v>
      </x:c>
      <x:c r="C13" s="8" t="n">
        <x:v>45659</x:v>
      </x:c>
      <x:c r="D13" s="8" t="n">
        <x:v>45659</x:v>
      </x:c>
      <x:c r="E13" s="7" t="n">
        <x:v>2000000</x:v>
      </x:c>
      <x:c r="F13" s="7" t="n">
        <x:v>1</x:v>
      </x:c>
      <x:c r="G13" s="7" t="str">
        <x:v>USD</x:v>
      </x:c>
      <x:c r="H13" s="7" t="str">
        <x:v>opening</x:v>
      </x:c>
    </x:row>
    <x:row r="14" ht="22" customHeight="1">
      <x:c r="A14" s="7" t="str">
        <x:v>REBAL-CA_EQ</x:v>
      </x:c>
      <x:c r="B14" s="7" t="str">
        <x:v>CA_EQ</x:v>
      </x:c>
      <x:c r="C14" s="8" t="n">
        <x:v>46265</x:v>
      </x:c>
      <x:c r="D14" s="8" t="n">
        <x:v>46265</x:v>
      </x:c>
      <x:c r="E14" s="7" t="n">
        <x:v>1000</x:v>
      </x:c>
      <x:c r="F14" s="7" t="n">
        <x:v>100</x:v>
      </x:c>
      <x:c r="G14" s="7" t="str">
        <x:v>CAD</x:v>
      </x:c>
      <x:c r="H14" s="7" t="str">
        <x:v>trade</x:v>
      </x:c>
    </x:row>
    <x:row r="15" ht="22" customHeight="1">
      <x:c r="A15" s="7" t="str">
        <x:v>REBAL-CAD_CASH</x:v>
      </x:c>
      <x:c r="B15" s="7" t="str">
        <x:v>CAD_CASH</x:v>
      </x:c>
      <x:c r="C15" s="8" t="n">
        <x:v>46265</x:v>
      </x:c>
      <x:c r="D15" s="8" t="n">
        <x:v>46265</x:v>
      </x:c>
      <x:c r="E15" s="7" t="n">
        <x:v>-100000</x:v>
      </x:c>
      <x:c r="F15" s="7" t="n">
        <x:v>1</x:v>
      </x:c>
      <x:c r="G15" s="7" t="str">
        <x:v>CAD</x:v>
      </x:c>
      <x:c r="H15" s="7" t="str">
        <x:v>trade</x:v>
      </x:c>
    </x:row>
    <x:row r="16" ht="22" customHeight="1">
      <x:c r="A16" s="7" t="str">
        <x:v>COUPONS-20260831</x:v>
      </x:c>
      <x:c r="B16" s="7" t="str">
        <x:v>CAD_CASH</x:v>
      </x:c>
      <x:c r="C16" s="8" t="n">
        <x:v>46265</x:v>
      </x:c>
      <x:c r="D16" s="8" t="n">
        <x:v>46265</x:v>
      </x:c>
      <x:c r="E16" s="7" t="n">
        <x:v>685000</x:v>
      </x:c>
      <x:c r="F16" s="7" t="n">
        <x:v>1</x:v>
      </x:c>
      <x:c r="G16" s="7" t="str">
        <x:v>CAD</x:v>
      </x:c>
      <x:c r="H16" s="7" t="str">
        <x:v>income</x:v>
      </x:c>
    </x:row>
  </x:sheetData>
  <x:pageMargins left="0.7" right="0.7" top="0.75" bottom="0.75" header="0.3" footer="0.3"/>
  <x:tableParts count="1">
    <x:tablePart xmlns:r="http://schemas.openxmlformats.org/officeDocument/2006/relationships" r:id="R68d182e46c6c422f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18" hidden="0" customWidth="1"/>
    <x:col min="4" max="4" width="25" hidden="0" customWidth="1"/>
    <x:col min="5" max="5" width="15" hidden="0" customWidth="1"/>
    <x:col min="6" max="6" width="20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2" t="str">
        <x:v>Security master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1" t="str">
        <x:v>2026-08-31 · CAD · Contains synthetic teaching data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34" customHeight="1">
      <x:c r="A5" s="6" t="str">
        <x:v>Security</x:v>
      </x:c>
      <x:c r="B5" s="6" t="str">
        <x:v>Name</x:v>
      </x:c>
      <x:c r="C5" s="6" t="str">
        <x:v>Type</x:v>
      </x:c>
      <x:c r="D5" s="6" t="str">
        <x:v>Asset class</x:v>
      </x:c>
      <x:c r="E5" s="6" t="str">
        <x:v>Currency</x:v>
      </x:c>
      <x:c r="F5" s="6" t="str">
        <x:v>Maturity</x:v>
      </x:c>
      <x:c r="G5" s="6" t="str">
        <x:v>Coupon</x:v>
      </x:c>
      <x:c r="H5" s="6" t="str">
        <x:v>Frequency</x:v>
      </x:c>
      <x:c r="I5" s="6" t="str">
        <x:v>Face</x:v>
      </x:c>
      <x:c r="J5" s="6" t="str">
        <x:v>Multiplier</x:v>
      </x:c>
      <x:c r="K5" s="6" t="str">
        <x:v>Rating</x:v>
      </x:c>
    </x:row>
    <x:row r="6" ht="22" customHeight="1">
      <x:c r="A6" s="7" t="str">
        <x:v>CA_EQ</x:v>
      </x:c>
      <x:c r="B6" s="7" t="str">
        <x:v>Canadian equity basket</x:v>
      </x:c>
      <x:c r="C6" s="7" t="str">
        <x:v>equity</x:v>
      </x:c>
      <x:c r="D6" s="7" t="str">
        <x:v>Equity</x:v>
      </x:c>
      <x:c r="E6" s="7" t="str">
        <x:v>CAD</x:v>
      </x:c>
      <x:c r="F6" s="8"/>
      <x:c r="G6" s="14"/>
      <x:c r="H6" s="7"/>
      <x:c r="I6" s="7"/>
      <x:c r="J6" s="7" t="n">
        <x:v>1</x:v>
      </x:c>
      <x:c r="K6" s="7"/>
    </x:row>
    <x:row r="7" ht="22" customHeight="1">
      <x:c r="A7" s="7" t="str">
        <x:v>US_EQ</x:v>
      </x:c>
      <x:c r="B7" s="7" t="str">
        <x:v>US equity basket</x:v>
      </x:c>
      <x:c r="C7" s="7" t="str">
        <x:v>equity</x:v>
      </x:c>
      <x:c r="D7" s="7" t="str">
        <x:v>Equity</x:v>
      </x:c>
      <x:c r="E7" s="7" t="str">
        <x:v>USD</x:v>
      </x:c>
      <x:c r="F7" s="8"/>
      <x:c r="G7" s="14"/>
      <x:c r="H7" s="7"/>
      <x:c r="I7" s="7"/>
      <x:c r="J7" s="7" t="n">
        <x:v>1</x:v>
      </x:c>
      <x:c r="K7" s="7"/>
    </x:row>
    <x:row r="8" ht="22" customHeight="1">
      <x:c r="A8" s="7" t="str">
        <x:v>US_ETF</x:v>
      </x:c>
      <x:c r="B8" s="7" t="str">
        <x:v>US Treasury ETF proxy</x:v>
      </x:c>
      <x:c r="C8" s="7" t="str">
        <x:v>etf</x:v>
      </x:c>
      <x:c r="D8" s="7" t="str">
        <x:v>Fixed income ETF</x:v>
      </x:c>
      <x:c r="E8" s="7" t="str">
        <x:v>USD</x:v>
      </x:c>
      <x:c r="F8" s="8"/>
      <x:c r="G8" s="14"/>
      <x:c r="H8" s="7"/>
      <x:c r="I8" s="7"/>
      <x:c r="J8" s="7" t="n">
        <x:v>1</x:v>
      </x:c>
      <x:c r="K8" s="7"/>
    </x:row>
    <x:row r="9" ht="22" customHeight="1">
      <x:c r="A9" s="7" t="str">
        <x:v>CA_GOV</x:v>
      </x:c>
      <x:c r="B9" s="7" t="str">
        <x:v>Canadian government bond</x:v>
      </x:c>
      <x:c r="C9" s="7" t="str">
        <x:v>bond</x:v>
      </x:c>
      <x:c r="D9" s="7" t="str">
        <x:v>Government bond</x:v>
      </x:c>
      <x:c r="E9" s="7" t="str">
        <x:v>CAD</x:v>
      </x:c>
      <x:c r="F9" s="8" t="n">
        <x:v>48091</x:v>
      </x:c>
      <x:c r="G9" s="14" t="n">
        <x:v>0.035</x:v>
      </x:c>
      <x:c r="H9" s="7" t="n">
        <x:v>2</x:v>
      </x:c>
      <x:c r="I9" s="7" t="n">
        <x:v>100</x:v>
      </x:c>
      <x:c r="J9" s="7" t="n">
        <x:v>1</x:v>
      </x:c>
      <x:c r="K9" s="7" t="str">
        <x:v>AAA</x:v>
      </x:c>
    </x:row>
    <x:row r="10" ht="22" customHeight="1">
      <x:c r="A10" s="7" t="str">
        <x:v>CA_CORP</x:v>
      </x:c>
      <x:c r="B10" s="7" t="str">
        <x:v>Canadian corporate bond</x:v>
      </x:c>
      <x:c r="C10" s="7" t="str">
        <x:v>bond</x:v>
      </x:c>
      <x:c r="D10" s="7" t="str">
        <x:v>Corporate bond</x:v>
      </x:c>
      <x:c r="E10" s="7" t="str">
        <x:v>CAD</x:v>
      </x:c>
      <x:c r="F10" s="8" t="n">
        <x:v>48822</x:v>
      </x:c>
      <x:c r="G10" s="14" t="n">
        <x:v>0.05</x:v>
      </x:c>
      <x:c r="H10" s="7" t="n">
        <x:v>2</x:v>
      </x:c>
      <x:c r="I10" s="7" t="n">
        <x:v>100</x:v>
      </x:c>
      <x:c r="J10" s="7" t="n">
        <x:v>1</x:v>
      </x:c>
      <x:c r="K10" s="7" t="str">
        <x:v>A</x:v>
      </x:c>
    </x:row>
    <x:row r="11" ht="22" customHeight="1">
      <x:c r="A11" s="7" t="str">
        <x:v>US_CALL</x:v>
      </x:c>
      <x:c r="B11" s="7" t="str">
        <x:v>European US basket call</x:v>
      </x:c>
      <x:c r="C11" s="7" t="str">
        <x:v>option</x:v>
      </x:c>
      <x:c r="D11" s="7" t="str">
        <x:v>Option</x:v>
      </x:c>
      <x:c r="E11" s="7" t="str">
        <x:v>USD</x:v>
      </x:c>
      <x:c r="F11" s="8" t="n">
        <x:v>46630</x:v>
      </x:c>
      <x:c r="G11" s="14"/>
      <x:c r="H11" s="7"/>
      <x:c r="I11" s="7"/>
      <x:c r="J11" s="7" t="n">
        <x:v>100</x:v>
      </x:c>
      <x:c r="K11" s="7"/>
    </x:row>
    <x:row r="12" ht="22" customHeight="1">
      <x:c r="A12" s="7" t="str">
        <x:v>CAD_CASH</x:v>
      </x:c>
      <x:c r="B12" s="7" t="str">
        <x:v>CAD cash</x:v>
      </x:c>
      <x:c r="C12" s="7" t="str">
        <x:v>cash</x:v>
      </x:c>
      <x:c r="D12" s="7" t="str">
        <x:v>Cash</x:v>
      </x:c>
      <x:c r="E12" s="7" t="str">
        <x:v>CAD</x:v>
      </x:c>
      <x:c r="F12" s="8"/>
      <x:c r="G12" s="14"/>
      <x:c r="H12" s="7"/>
      <x:c r="I12" s="7"/>
      <x:c r="J12" s="7" t="n">
        <x:v>1</x:v>
      </x:c>
      <x:c r="K12" s="7"/>
    </x:row>
    <x:row r="13" ht="22" customHeight="1">
      <x:c r="A13" s="7" t="str">
        <x:v>USD_CASH</x:v>
      </x:c>
      <x:c r="B13" s="7" t="str">
        <x:v>USD cash</x:v>
      </x:c>
      <x:c r="C13" s="7" t="str">
        <x:v>cash</x:v>
      </x:c>
      <x:c r="D13" s="7" t="str">
        <x:v>Cash</x:v>
      </x:c>
      <x:c r="E13" s="7" t="str">
        <x:v>USD</x:v>
      </x:c>
      <x:c r="F13" s="8"/>
      <x:c r="G13" s="14"/>
      <x:c r="H13" s="7"/>
      <x:c r="I13" s="7"/>
      <x:c r="J13" s="7" t="n">
        <x:v>1</x:v>
      </x:c>
      <x:c r="K13" s="7"/>
    </x:row>
  </x:sheetData>
  <x:pageMargins left="0.7" right="0.7" top="0.75" bottom="0.75" header="0.3" footer="0.3"/>
  <x:tableParts count="1">
    <x:tablePart xmlns:r="http://schemas.openxmlformats.org/officeDocument/2006/relationships" r:id="R7577e89749d14c80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9" hidden="0" customWidth="1"/>
    <x:col min="2" max="2" width="20" hidden="0" customWidth="1"/>
    <x:col min="3" max="3" width="18" hidden="0" customWidth="1"/>
    <x:col min="4" max="4" width="20" hidden="0" customWidth="1"/>
    <x:col min="5" max="5" width="82" hidden="0" customWidth="1"/>
    <x:col min="6" max="6" width="32" hidden="0" customWidth="1"/>
  </x:cols>
  <x:sheetData>
    <x:row r="1">
      <x:c r="A1" s="1"/>
      <x:c r="B1" s="1"/>
      <x:c r="C1" s="1"/>
      <x:c r="D1" s="1"/>
      <x:c r="E1" s="1"/>
      <x:c r="F1" s="1"/>
    </x:row>
    <x:row r="2">
      <x:c r="A2" s="2" t="str">
        <x:v>Market observations and provenance</x:v>
      </x:c>
      <x:c r="B2" s="1"/>
      <x:c r="C2" s="1"/>
      <x:c r="D2" s="1"/>
      <x:c r="E2" s="1"/>
      <x:c r="F2" s="1"/>
    </x:row>
    <x:row r="3">
      <x:c r="A3" s="1" t="str">
        <x:v>2026-08-31 · CAD · Contains synthetic teaching data</x:v>
      </x:c>
      <x:c r="B3" s="1"/>
      <x:c r="C3" s="1"/>
      <x:c r="D3" s="1"/>
      <x:c r="E3" s="1"/>
      <x:c r="F3" s="1"/>
    </x:row>
    <x:row r="4">
      <x:c r="A4" s="1"/>
      <x:c r="B4" s="1"/>
      <x:c r="C4" s="1"/>
      <x:c r="D4" s="1"/>
      <x:c r="E4" s="1"/>
      <x:c r="F4" s="1"/>
    </x:row>
    <x:row r="5" ht="34" customHeight="1">
      <x:c r="A5" s="6" t="str">
        <x:v>Date</x:v>
      </x:c>
      <x:c r="B5" s="6" t="str">
        <x:v>Security</x:v>
      </x:c>
      <x:c r="C5" s="6" t="str">
        <x:v>Local price</x:v>
      </x:c>
      <x:c r="D5" s="6" t="str">
        <x:v>Adjusted price</x:v>
      </x:c>
      <x:c r="E5" s="6" t="str">
        <x:v>Source</x:v>
      </x:c>
      <x:c r="F5" s="6" t="str">
        <x:v>Retrieved at</x:v>
      </x:c>
    </x:row>
    <x:row r="6" ht="22" customHeight="1">
      <x:c r="A6" s="8" t="n">
        <x:v>45659</x:v>
      </x:c>
      <x:c r="B6" s="7" t="str">
        <x:v>CA_EQ</x:v>
      </x:c>
      <x:c r="C6" s="7" t="n">
        <x:v>97.8574025338</x:v>
      </x:c>
      <x:c r="D6" s="7" t="n">
        <x:v>97.8574025338</x:v>
      </x:c>
      <x:c r="E6" s="7" t="str">
        <x:v>SYNTHETIC: seeded teaching dataset; not observed market data</x:v>
      </x:c>
      <x:c r="F6" s="7" t="n">
        <x:v>46266</x:v>
      </x:c>
    </x:row>
    <x:row r="7" ht="22" customHeight="1">
      <x:c r="A7" s="8" t="n">
        <x:v>45660</x:v>
      </x:c>
      <x:c r="B7" s="7" t="str">
        <x:v>CA_EQ</x:v>
      </x:c>
      <x:c r="C7" s="7" t="n">
        <x:v>97.9419905369</x:v>
      </x:c>
      <x:c r="D7" s="7" t="n">
        <x:v>97.9419905369</x:v>
      </x:c>
      <x:c r="E7" s="7" t="str">
        <x:v>SYNTHETIC: seeded teaching dataset; not observed market data</x:v>
      </x:c>
      <x:c r="F7" s="7" t="n">
        <x:v>46266</x:v>
      </x:c>
    </x:row>
    <x:row r="8" ht="22" customHeight="1">
      <x:c r="A8" s="8" t="n">
        <x:v>45663</x:v>
      </x:c>
      <x:c r="B8" s="7" t="str">
        <x:v>CA_EQ</x:v>
      </x:c>
      <x:c r="C8" s="7" t="n">
        <x:v>96.3324135839</x:v>
      </x:c>
      <x:c r="D8" s="7" t="n">
        <x:v>96.3324135839</x:v>
      </x:c>
      <x:c r="E8" s="7" t="str">
        <x:v>SYNTHETIC: seeded teaching dataset; not observed market data</x:v>
      </x:c>
      <x:c r="F8" s="7" t="n">
        <x:v>46266</x:v>
      </x:c>
    </x:row>
    <x:row r="9" ht="22" customHeight="1">
      <x:c r="A9" s="8" t="n">
        <x:v>45664</x:v>
      </x:c>
      <x:c r="B9" s="7" t="str">
        <x:v>CA_EQ</x:v>
      </x:c>
      <x:c r="C9" s="7" t="n">
        <x:v>96.3492381294</x:v>
      </x:c>
      <x:c r="D9" s="7" t="n">
        <x:v>96.3492381294</x:v>
      </x:c>
      <x:c r="E9" s="7" t="str">
        <x:v>SYNTHETIC: seeded teaching dataset; not observed market data</x:v>
      </x:c>
      <x:c r="F9" s="7" t="n">
        <x:v>46266</x:v>
      </x:c>
    </x:row>
    <x:row r="10" ht="22" customHeight="1">
      <x:c r="A10" s="8" t="n">
        <x:v>45665</x:v>
      </x:c>
      <x:c r="B10" s="7" t="str">
        <x:v>CA_EQ</x:v>
      </x:c>
      <x:c r="C10" s="7" t="n">
        <x:v>95.3567651463</x:v>
      </x:c>
      <x:c r="D10" s="7" t="n">
        <x:v>95.3567651463</x:v>
      </x:c>
      <x:c r="E10" s="7" t="str">
        <x:v>SYNTHETIC: seeded teaching dataset; not observed market data</x:v>
      </x:c>
      <x:c r="F10" s="7" t="n">
        <x:v>46266</x:v>
      </x:c>
    </x:row>
    <x:row r="11" ht="22" customHeight="1">
      <x:c r="A11" s="8" t="n">
        <x:v>45666</x:v>
      </x:c>
      <x:c r="B11" s="7" t="str">
        <x:v>CA_EQ</x:v>
      </x:c>
      <x:c r="C11" s="7" t="n">
        <x:v>95.9575820534</x:v>
      </x:c>
      <x:c r="D11" s="7" t="n">
        <x:v>95.9575820534</x:v>
      </x:c>
      <x:c r="E11" s="7" t="str">
        <x:v>SYNTHETIC: seeded teaching dataset; not observed market data</x:v>
      </x:c>
      <x:c r="F11" s="7" t="n">
        <x:v>46266</x:v>
      </x:c>
    </x:row>
    <x:row r="12" ht="22" customHeight="1">
      <x:c r="A12" s="8" t="n">
        <x:v>45667</x:v>
      </x:c>
      <x:c r="B12" s="7" t="str">
        <x:v>CA_EQ</x:v>
      </x:c>
      <x:c r="C12" s="7" t="n">
        <x:v>96.2500999727</x:v>
      </x:c>
      <x:c r="D12" s="7" t="n">
        <x:v>96.2500999727</x:v>
      </x:c>
      <x:c r="E12" s="7" t="str">
        <x:v>SYNTHETIC: seeded teaching dataset; not observed market data</x:v>
      </x:c>
      <x:c r="F12" s="7" t="n">
        <x:v>46266</x:v>
      </x:c>
    </x:row>
    <x:row r="13" ht="22" customHeight="1">
      <x:c r="A13" s="8" t="n">
        <x:v>45670</x:v>
      </x:c>
      <x:c r="B13" s="7" t="str">
        <x:v>CA_EQ</x:v>
      </x:c>
      <x:c r="C13" s="7" t="n">
        <x:v>95.8409618398</x:v>
      </x:c>
      <x:c r="D13" s="7" t="n">
        <x:v>95.8409618398</x:v>
      </x:c>
      <x:c r="E13" s="7" t="str">
        <x:v>SYNTHETIC: seeded teaching dataset; not observed market data</x:v>
      </x:c>
      <x:c r="F13" s="7" t="n">
        <x:v>46266</x:v>
      </x:c>
    </x:row>
    <x:row r="14" ht="22" customHeight="1">
      <x:c r="A14" s="8" t="n">
        <x:v>45671</x:v>
      </x:c>
      <x:c r="B14" s="7" t="str">
        <x:v>CA_EQ</x:v>
      </x:c>
      <x:c r="C14" s="7" t="n">
        <x:v>95.6632692903</x:v>
      </x:c>
      <x:c r="D14" s="7" t="n">
        <x:v>95.6632692903</x:v>
      </x:c>
      <x:c r="E14" s="7" t="str">
        <x:v>SYNTHETIC: seeded teaching dataset; not observed market data</x:v>
      </x:c>
      <x:c r="F14" s="7" t="n">
        <x:v>46266</x:v>
      </x:c>
    </x:row>
    <x:row r="15" ht="22" customHeight="1">
      <x:c r="A15" s="8" t="n">
        <x:v>45672</x:v>
      </x:c>
      <x:c r="B15" s="7" t="str">
        <x:v>CA_EQ</x:v>
      </x:c>
      <x:c r="C15" s="7" t="n">
        <x:v>96.4454179591</x:v>
      </x:c>
      <x:c r="D15" s="7" t="n">
        <x:v>96.4454179591</x:v>
      </x:c>
      <x:c r="E15" s="7" t="str">
        <x:v>SYNTHETIC: seeded teaching dataset; not observed market data</x:v>
      </x:c>
      <x:c r="F15" s="7" t="n">
        <x:v>46266</x:v>
      </x:c>
    </x:row>
    <x:row r="16" ht="22" customHeight="1">
      <x:c r="A16" s="8" t="n">
        <x:v>45673</x:v>
      </x:c>
      <x:c r="B16" s="7" t="str">
        <x:v>CA_EQ</x:v>
      </x:c>
      <x:c r="C16" s="7" t="n">
        <x:v>95.6435591743</x:v>
      </x:c>
      <x:c r="D16" s="7" t="n">
        <x:v>95.6435591743</x:v>
      </x:c>
      <x:c r="E16" s="7" t="str">
        <x:v>SYNTHETIC: seeded teaching dataset; not observed market data</x:v>
      </x:c>
      <x:c r="F16" s="7" t="n">
        <x:v>46266</x:v>
      </x:c>
    </x:row>
    <x:row r="17" ht="22" customHeight="1">
      <x:c r="A17" s="8" t="n">
        <x:v>45674</x:v>
      </x:c>
      <x:c r="B17" s="7" t="str">
        <x:v>CA_EQ</x:v>
      </x:c>
      <x:c r="C17" s="7" t="n">
        <x:v>96.2048154747</x:v>
      </x:c>
      <x:c r="D17" s="7" t="n">
        <x:v>96.2048154747</x:v>
      </x:c>
      <x:c r="E17" s="7" t="str">
        <x:v>SYNTHETIC: seeded teaching dataset; not observed market data</x:v>
      </x:c>
      <x:c r="F17" s="7" t="n">
        <x:v>46266</x:v>
      </x:c>
    </x:row>
    <x:row r="18" ht="22" customHeight="1">
      <x:c r="A18" s="8" t="n">
        <x:v>45677</x:v>
      </x:c>
      <x:c r="B18" s="7" t="str">
        <x:v>CA_EQ</x:v>
      </x:c>
      <x:c r="C18" s="7" t="n">
        <x:v>96.9208805066</x:v>
      </x:c>
      <x:c r="D18" s="7" t="n">
        <x:v>96.9208805066</x:v>
      </x:c>
      <x:c r="E18" s="7" t="str">
        <x:v>SYNTHETIC: seeded teaching dataset; not observed market data</x:v>
      </x:c>
      <x:c r="F18" s="7" t="n">
        <x:v>46266</x:v>
      </x:c>
    </x:row>
    <x:row r="19" ht="22" customHeight="1">
      <x:c r="A19" s="8" t="n">
        <x:v>45678</x:v>
      </x:c>
      <x:c r="B19" s="7" t="str">
        <x:v>CA_EQ</x:v>
      </x:c>
      <x:c r="C19" s="7" t="n">
        <x:v>97.3958990773</x:v>
      </x:c>
      <x:c r="D19" s="7" t="n">
        <x:v>97.3958990773</x:v>
      </x:c>
      <x:c r="E19" s="7" t="str">
        <x:v>SYNTHETIC: seeded teaching dataset; not observed market data</x:v>
      </x:c>
      <x:c r="F19" s="7" t="n">
        <x:v>46266</x:v>
      </x:c>
    </x:row>
    <x:row r="20" ht="22" customHeight="1">
      <x:c r="A20" s="8" t="n">
        <x:v>45679</x:v>
      </x:c>
      <x:c r="B20" s="7" t="str">
        <x:v>CA_EQ</x:v>
      </x:c>
      <x:c r="C20" s="7" t="n">
        <x:v>97.5739613077</x:v>
      </x:c>
      <x:c r="D20" s="7" t="n">
        <x:v>97.5739613077</x:v>
      </x:c>
      <x:c r="E20" s="7" t="str">
        <x:v>SYNTHETIC: seeded teaching dataset; not observed market data</x:v>
      </x:c>
      <x:c r="F20" s="7" t="n">
        <x:v>46266</x:v>
      </x:c>
    </x:row>
    <x:row r="21" ht="22" customHeight="1">
      <x:c r="A21" s="8" t="n">
        <x:v>45680</x:v>
      </x:c>
      <x:c r="B21" s="7" t="str">
        <x:v>CA_EQ</x:v>
      </x:c>
      <x:c r="C21" s="7" t="n">
        <x:v>97.3901977664</x:v>
      </x:c>
      <x:c r="D21" s="7" t="n">
        <x:v>97.3901977664</x:v>
      </x:c>
      <x:c r="E21" s="7" t="str">
        <x:v>SYNTHETIC: seeded teaching dataset; not observed market data</x:v>
      </x:c>
      <x:c r="F21" s="7" t="n">
        <x:v>46266</x:v>
      </x:c>
    </x:row>
    <x:row r="22" ht="22" customHeight="1">
      <x:c r="A22" s="8" t="n">
        <x:v>45681</x:v>
      </x:c>
      <x:c r="B22" s="7" t="str">
        <x:v>CA_EQ</x:v>
      </x:c>
      <x:c r="C22" s="7" t="n">
        <x:v>97.5439032006</x:v>
      </x:c>
      <x:c r="D22" s="7" t="n">
        <x:v>97.5439032006</x:v>
      </x:c>
      <x:c r="E22" s="7" t="str">
        <x:v>SYNTHETIC: seeded teaching dataset; not observed market data</x:v>
      </x:c>
      <x:c r="F22" s="7" t="n">
        <x:v>46266</x:v>
      </x:c>
    </x:row>
    <x:row r="23" ht="22" customHeight="1">
      <x:c r="A23" s="8" t="n">
        <x:v>45684</x:v>
      </x:c>
      <x:c r="B23" s="7" t="str">
        <x:v>CA_EQ</x:v>
      </x:c>
      <x:c r="C23" s="7" t="n">
        <x:v>98.9936634798</x:v>
      </x:c>
      <x:c r="D23" s="7" t="n">
        <x:v>98.9936634798</x:v>
      </x:c>
      <x:c r="E23" s="7" t="str">
        <x:v>SYNTHETIC: seeded teaching dataset; not observed market data</x:v>
      </x:c>
      <x:c r="F23" s="7" t="n">
        <x:v>46266</x:v>
      </x:c>
    </x:row>
    <x:row r="24" ht="22" customHeight="1">
      <x:c r="A24" s="8" t="n">
        <x:v>45685</x:v>
      </x:c>
      <x:c r="B24" s="7" t="str">
        <x:v>CA_EQ</x:v>
      </x:c>
      <x:c r="C24" s="7" t="n">
        <x:v>100.4382961842</x:v>
      </x:c>
      <x:c r="D24" s="7" t="n">
        <x:v>100.4382961842</x:v>
      </x:c>
      <x:c r="E24" s="7" t="str">
        <x:v>SYNTHETIC: seeded teaching dataset; not observed market data</x:v>
      </x:c>
      <x:c r="F24" s="7" t="n">
        <x:v>46266</x:v>
      </x:c>
    </x:row>
    <x:row r="25" ht="22" customHeight="1">
      <x:c r="A25" s="8" t="n">
        <x:v>45686</x:v>
      </x:c>
      <x:c r="B25" s="7" t="str">
        <x:v>CA_EQ</x:v>
      </x:c>
      <x:c r="C25" s="7" t="n">
        <x:v>99.0182675705</x:v>
      </x:c>
      <x:c r="D25" s="7" t="n">
        <x:v>99.0182675705</x:v>
      </x:c>
      <x:c r="E25" s="7" t="str">
        <x:v>SYNTHETIC: seeded teaching dataset; not observed market data</x:v>
      </x:c>
      <x:c r="F25" s="7" t="n">
        <x:v>46266</x:v>
      </x:c>
    </x:row>
    <x:row r="26" ht="22" customHeight="1">
      <x:c r="A26" s="8" t="n">
        <x:v>45687</x:v>
      </x:c>
      <x:c r="B26" s="7" t="str">
        <x:v>CA_EQ</x:v>
      </x:c>
      <x:c r="C26" s="7" t="n">
        <x:v>100.5037947439</x:v>
      </x:c>
      <x:c r="D26" s="7" t="n">
        <x:v>100.5037947439</x:v>
      </x:c>
      <x:c r="E26" s="7" t="str">
        <x:v>SYNTHETIC: seeded teaching dataset; not observed market data</x:v>
      </x:c>
      <x:c r="F26" s="7" t="n">
        <x:v>46266</x:v>
      </x:c>
    </x:row>
    <x:row r="27" ht="22" customHeight="1">
      <x:c r="A27" s="8" t="n">
        <x:v>45688</x:v>
      </x:c>
      <x:c r="B27" s="7" t="str">
        <x:v>CA_EQ</x:v>
      </x:c>
      <x:c r="C27" s="7" t="n">
        <x:v>101.5026238893</x:v>
      </x:c>
      <x:c r="D27" s="7" t="n">
        <x:v>101.5026238893</x:v>
      </x:c>
      <x:c r="E27" s="7" t="str">
        <x:v>SYNTHETIC: seeded teaching dataset; not observed market data</x:v>
      </x:c>
      <x:c r="F27" s="7" t="n">
        <x:v>46266</x:v>
      </x:c>
    </x:row>
    <x:row r="28" ht="22" customHeight="1">
      <x:c r="A28" s="8" t="n">
        <x:v>45691</x:v>
      </x:c>
      <x:c r="B28" s="7" t="str">
        <x:v>CA_EQ</x:v>
      </x:c>
      <x:c r="C28" s="7" t="n">
        <x:v>102.1958384176</x:v>
      </x:c>
      <x:c r="D28" s="7" t="n">
        <x:v>102.1958384176</x:v>
      </x:c>
      <x:c r="E28" s="7" t="str">
        <x:v>SYNTHETIC: seeded teaching dataset; not observed market data</x:v>
      </x:c>
      <x:c r="F28" s="7" t="n">
        <x:v>46266</x:v>
      </x:c>
    </x:row>
    <x:row r="29" ht="22" customHeight="1">
      <x:c r="A29" s="8" t="n">
        <x:v>45692</x:v>
      </x:c>
      <x:c r="B29" s="7" t="str">
        <x:v>CA_EQ</x:v>
      </x:c>
      <x:c r="C29" s="7" t="n">
        <x:v>104.1545078831</x:v>
      </x:c>
      <x:c r="D29" s="7" t="n">
        <x:v>104.1545078831</x:v>
      </x:c>
      <x:c r="E29" s="7" t="str">
        <x:v>SYNTHETIC: seeded teaching dataset; not observed market data</x:v>
      </x:c>
      <x:c r="F29" s="7" t="n">
        <x:v>46266</x:v>
      </x:c>
    </x:row>
    <x:row r="30" ht="22" customHeight="1">
      <x:c r="A30" s="8" t="n">
        <x:v>45693</x:v>
      </x:c>
      <x:c r="B30" s="7" t="str">
        <x:v>CA_EQ</x:v>
      </x:c>
      <x:c r="C30" s="7" t="n">
        <x:v>106.0994878139</x:v>
      </x:c>
      <x:c r="D30" s="7" t="n">
        <x:v>106.0994878139</x:v>
      </x:c>
      <x:c r="E30" s="7" t="str">
        <x:v>SYNTHETIC: seeded teaching dataset; not observed market data</x:v>
      </x:c>
      <x:c r="F30" s="7" t="n">
        <x:v>46266</x:v>
      </x:c>
    </x:row>
    <x:row r="31" ht="22" customHeight="1">
      <x:c r="A31" s="8" t="n">
        <x:v>45694</x:v>
      </x:c>
      <x:c r="B31" s="7" t="str">
        <x:v>CA_EQ</x:v>
      </x:c>
      <x:c r="C31" s="7" t="n">
        <x:v>107.3824676127</x:v>
      </x:c>
      <x:c r="D31" s="7" t="n">
        <x:v>107.3824676127</x:v>
      </x:c>
      <x:c r="E31" s="7" t="str">
        <x:v>SYNTHETIC: seeded teaching dataset; not observed market data</x:v>
      </x:c>
      <x:c r="F31" s="7" t="n">
        <x:v>46266</x:v>
      </x:c>
    </x:row>
    <x:row r="32" ht="22" customHeight="1">
      <x:c r="A32" s="8" t="n">
        <x:v>45695</x:v>
      </x:c>
      <x:c r="B32" s="7" t="str">
        <x:v>CA_EQ</x:v>
      </x:c>
      <x:c r="C32" s="7" t="n">
        <x:v>107.5247913184</x:v>
      </x:c>
      <x:c r="D32" s="7" t="n">
        <x:v>107.5247913184</x:v>
      </x:c>
      <x:c r="E32" s="7" t="str">
        <x:v>SYNTHETIC: seeded teaching dataset; not observed market data</x:v>
      </x:c>
      <x:c r="F32" s="7" t="n">
        <x:v>46266</x:v>
      </x:c>
    </x:row>
    <x:row r="33" ht="22" customHeight="1">
      <x:c r="A33" s="8" t="n">
        <x:v>45698</x:v>
      </x:c>
      <x:c r="B33" s="7" t="str">
        <x:v>CA_EQ</x:v>
      </x:c>
      <x:c r="C33" s="7" t="n">
        <x:v>106.6595968072</x:v>
      </x:c>
      <x:c r="D33" s="7" t="n">
        <x:v>106.6595968072</x:v>
      </x:c>
      <x:c r="E33" s="7" t="str">
        <x:v>SYNTHETIC: seeded teaching dataset; not observed market data</x:v>
      </x:c>
      <x:c r="F33" s="7" t="n">
        <x:v>46266</x:v>
      </x:c>
    </x:row>
    <x:row r="34" ht="22" customHeight="1">
      <x:c r="A34" s="8" t="n">
        <x:v>45699</x:v>
      </x:c>
      <x:c r="B34" s="7" t="str">
        <x:v>CA_EQ</x:v>
      </x:c>
      <x:c r="C34" s="7" t="n">
        <x:v>107.2793340977</x:v>
      </x:c>
      <x:c r="D34" s="7" t="n">
        <x:v>107.2793340977</x:v>
      </x:c>
      <x:c r="E34" s="7" t="str">
        <x:v>SYNTHETIC: seeded teaching dataset; not observed market data</x:v>
      </x:c>
      <x:c r="F34" s="7" t="n">
        <x:v>46266</x:v>
      </x:c>
    </x:row>
    <x:row r="35" ht="22" customHeight="1">
      <x:c r="A35" s="8" t="n">
        <x:v>45700</x:v>
      </x:c>
      <x:c r="B35" s="7" t="str">
        <x:v>CA_EQ</x:v>
      </x:c>
      <x:c r="C35" s="7" t="n">
        <x:v>108.0949929785</x:v>
      </x:c>
      <x:c r="D35" s="7" t="n">
        <x:v>108.0949929785</x:v>
      </x:c>
      <x:c r="E35" s="7" t="str">
        <x:v>SYNTHETIC: seeded teaching dataset; not observed market data</x:v>
      </x:c>
      <x:c r="F35" s="7" t="n">
        <x:v>46266</x:v>
      </x:c>
    </x:row>
    <x:row r="36" ht="22" customHeight="1">
      <x:c r="A36" s="8" t="n">
        <x:v>45701</x:v>
      </x:c>
      <x:c r="B36" s="7" t="str">
        <x:v>CA_EQ</x:v>
      </x:c>
      <x:c r="C36" s="7" t="n">
        <x:v>107.6986456449</x:v>
      </x:c>
      <x:c r="D36" s="7" t="n">
        <x:v>107.6986456449</x:v>
      </x:c>
      <x:c r="E36" s="7" t="str">
        <x:v>SYNTHETIC: seeded teaching dataset; not observed market data</x:v>
      </x:c>
      <x:c r="F36" s="7" t="n">
        <x:v>46266</x:v>
      </x:c>
    </x:row>
    <x:row r="37" ht="22" customHeight="1">
      <x:c r="A37" s="8" t="n">
        <x:v>45702</x:v>
      </x:c>
      <x:c r="B37" s="7" t="str">
        <x:v>CA_EQ</x:v>
      </x:c>
      <x:c r="C37" s="7" t="n">
        <x:v>107.2771037436</x:v>
      </x:c>
      <x:c r="D37" s="7" t="n">
        <x:v>107.2771037436</x:v>
      </x:c>
      <x:c r="E37" s="7" t="str">
        <x:v>SYNTHETIC: seeded teaching dataset; not observed market data</x:v>
      </x:c>
      <x:c r="F37" s="7" t="n">
        <x:v>46266</x:v>
      </x:c>
    </x:row>
    <x:row r="38" ht="22" customHeight="1">
      <x:c r="A38" s="8" t="n">
        <x:v>45705</x:v>
      </x:c>
      <x:c r="B38" s="7" t="str">
        <x:v>CA_EQ</x:v>
      </x:c>
      <x:c r="C38" s="7" t="n">
        <x:v>106.3171833613</x:v>
      </x:c>
      <x:c r="D38" s="7" t="n">
        <x:v>106.3171833613</x:v>
      </x:c>
      <x:c r="E38" s="7" t="str">
        <x:v>SYNTHETIC: seeded teaching dataset; not observed market data</x:v>
      </x:c>
      <x:c r="F38" s="7" t="n">
        <x:v>46266</x:v>
      </x:c>
    </x:row>
    <x:row r="39" ht="22" customHeight="1">
      <x:c r="A39" s="8" t="n">
        <x:v>45706</x:v>
      </x:c>
      <x:c r="B39" s="7" t="str">
        <x:v>CA_EQ</x:v>
      </x:c>
      <x:c r="C39" s="7" t="n">
        <x:v>104.7924912268</x:v>
      </x:c>
      <x:c r="D39" s="7" t="n">
        <x:v>104.7924912268</x:v>
      </x:c>
      <x:c r="E39" s="7" t="str">
        <x:v>SYNTHETIC: seeded teaching dataset; not observed market data</x:v>
      </x:c>
      <x:c r="F39" s="7" t="n">
        <x:v>46266</x:v>
      </x:c>
    </x:row>
    <x:row r="40" ht="22" customHeight="1">
      <x:c r="A40" s="8" t="n">
        <x:v>45707</x:v>
      </x:c>
      <x:c r="B40" s="7" t="str">
        <x:v>CA_EQ</x:v>
      </x:c>
      <x:c r="C40" s="7" t="n">
        <x:v>107.3087320976</x:v>
      </x:c>
      <x:c r="D40" s="7" t="n">
        <x:v>107.3087320976</x:v>
      </x:c>
      <x:c r="E40" s="7" t="str">
        <x:v>SYNTHETIC: seeded teaching dataset; not observed market data</x:v>
      </x:c>
      <x:c r="F40" s="7" t="n">
        <x:v>46266</x:v>
      </x:c>
    </x:row>
    <x:row r="41" ht="22" customHeight="1">
      <x:c r="A41" s="8" t="n">
        <x:v>45708</x:v>
      </x:c>
      <x:c r="B41" s="7" t="str">
        <x:v>CA_EQ</x:v>
      </x:c>
      <x:c r="C41" s="7" t="n">
        <x:v>107.8655632961</x:v>
      </x:c>
      <x:c r="D41" s="7" t="n">
        <x:v>107.8655632961</x:v>
      </x:c>
      <x:c r="E41" s="7" t="str">
        <x:v>SYNTHETIC: seeded teaching dataset; not observed market data</x:v>
      </x:c>
      <x:c r="F41" s="7" t="n">
        <x:v>46266</x:v>
      </x:c>
    </x:row>
    <x:row r="42" ht="22" customHeight="1">
      <x:c r="A42" s="8" t="n">
        <x:v>45709</x:v>
      </x:c>
      <x:c r="B42" s="7" t="str">
        <x:v>CA_EQ</x:v>
      </x:c>
      <x:c r="C42" s="7" t="n">
        <x:v>107.255068109</x:v>
      </x:c>
      <x:c r="D42" s="7" t="n">
        <x:v>107.255068109</x:v>
      </x:c>
      <x:c r="E42" s="7" t="str">
        <x:v>SYNTHETIC: seeded teaching dataset; not observed market data</x:v>
      </x:c>
      <x:c r="F42" s="7" t="n">
        <x:v>46266</x:v>
      </x:c>
    </x:row>
    <x:row r="43" ht="22" customHeight="1">
      <x:c r="A43" s="8" t="n">
        <x:v>45712</x:v>
      </x:c>
      <x:c r="B43" s="7" t="str">
        <x:v>CA_EQ</x:v>
      </x:c>
      <x:c r="C43" s="7" t="n">
        <x:v>107.1201821515</x:v>
      </x:c>
      <x:c r="D43" s="7" t="n">
        <x:v>107.1201821515</x:v>
      </x:c>
      <x:c r="E43" s="7" t="str">
        <x:v>SYNTHETIC: seeded teaching dataset; not observed market data</x:v>
      </x:c>
      <x:c r="F43" s="7" t="n">
        <x:v>46266</x:v>
      </x:c>
    </x:row>
    <x:row r="44" ht="22" customHeight="1">
      <x:c r="A44" s="8" t="n">
        <x:v>45713</x:v>
      </x:c>
      <x:c r="B44" s="7" t="str">
        <x:v>CA_EQ</x:v>
      </x:c>
      <x:c r="C44" s="7" t="n">
        <x:v>108.4481350543</x:v>
      </x:c>
      <x:c r="D44" s="7" t="n">
        <x:v>108.4481350543</x:v>
      </x:c>
      <x:c r="E44" s="7" t="str">
        <x:v>SYNTHETIC: seeded teaching dataset; not observed market data</x:v>
      </x:c>
      <x:c r="F44" s="7" t="n">
        <x:v>46266</x:v>
      </x:c>
    </x:row>
    <x:row r="45" ht="22" customHeight="1">
      <x:c r="A45" s="8" t="n">
        <x:v>45714</x:v>
      </x:c>
      <x:c r="B45" s="7" t="str">
        <x:v>CA_EQ</x:v>
      </x:c>
      <x:c r="C45" s="7" t="n">
        <x:v>106.0891891259</x:v>
      </x:c>
      <x:c r="D45" s="7" t="n">
        <x:v>106.0891891259</x:v>
      </x:c>
      <x:c r="E45" s="7" t="str">
        <x:v>SYNTHETIC: seeded teaching dataset; not observed market data</x:v>
      </x:c>
      <x:c r="F45" s="7" t="n">
        <x:v>46266</x:v>
      </x:c>
    </x:row>
    <x:row r="46" ht="22" customHeight="1">
      <x:c r="A46" s="8" t="n">
        <x:v>45715</x:v>
      </x:c>
      <x:c r="B46" s="7" t="str">
        <x:v>CA_EQ</x:v>
      </x:c>
      <x:c r="C46" s="7" t="n">
        <x:v>104.5388639562</x:v>
      </x:c>
      <x:c r="D46" s="7" t="n">
        <x:v>104.5388639562</x:v>
      </x:c>
      <x:c r="E46" s="7" t="str">
        <x:v>SYNTHETIC: seeded teaching dataset; not observed market data</x:v>
      </x:c>
      <x:c r="F46" s="7" t="n">
        <x:v>46266</x:v>
      </x:c>
    </x:row>
    <x:row r="47" ht="22" customHeight="1">
      <x:c r="A47" s="8" t="n">
        <x:v>45716</x:v>
      </x:c>
      <x:c r="B47" s="7" t="str">
        <x:v>CA_EQ</x:v>
      </x:c>
      <x:c r="C47" s="7" t="n">
        <x:v>105.1986665789</x:v>
      </x:c>
      <x:c r="D47" s="7" t="n">
        <x:v>105.1986665789</x:v>
      </x:c>
      <x:c r="E47" s="7" t="str">
        <x:v>SYNTHETIC: seeded teaching dataset; not observed market data</x:v>
      </x:c>
      <x:c r="F47" s="7" t="n">
        <x:v>46266</x:v>
      </x:c>
    </x:row>
    <x:row r="48" ht="22" customHeight="1">
      <x:c r="A48" s="8" t="n">
        <x:v>45719</x:v>
      </x:c>
      <x:c r="B48" s="7" t="str">
        <x:v>CA_EQ</x:v>
      </x:c>
      <x:c r="C48" s="7" t="n">
        <x:v>104.0361249224</x:v>
      </x:c>
      <x:c r="D48" s="7" t="n">
        <x:v>104.0361249224</x:v>
      </x:c>
      <x:c r="E48" s="7" t="str">
        <x:v>SYNTHETIC: seeded teaching dataset; not observed market data</x:v>
      </x:c>
      <x:c r="F48" s="7" t="n">
        <x:v>46266</x:v>
      </x:c>
    </x:row>
    <x:row r="49" ht="22" customHeight="1">
      <x:c r="A49" s="8" t="n">
        <x:v>45720</x:v>
      </x:c>
      <x:c r="B49" s="7" t="str">
        <x:v>CA_EQ</x:v>
      </x:c>
      <x:c r="C49" s="7" t="n">
        <x:v>103.0085030056</x:v>
      </x:c>
      <x:c r="D49" s="7" t="n">
        <x:v>103.0085030056</x:v>
      </x:c>
      <x:c r="E49" s="7" t="str">
        <x:v>SYNTHETIC: seeded teaching dataset; not observed market data</x:v>
      </x:c>
      <x:c r="F49" s="7" t="n">
        <x:v>46266</x:v>
      </x:c>
    </x:row>
    <x:row r="50" ht="22" customHeight="1">
      <x:c r="A50" s="8" t="n">
        <x:v>45721</x:v>
      </x:c>
      <x:c r="B50" s="7" t="str">
        <x:v>CA_EQ</x:v>
      </x:c>
      <x:c r="C50" s="7" t="n">
        <x:v>102.1755460183</x:v>
      </x:c>
      <x:c r="D50" s="7" t="n">
        <x:v>102.1755460183</x:v>
      </x:c>
      <x:c r="E50" s="7" t="str">
        <x:v>SYNTHETIC: seeded teaching dataset; not observed market data</x:v>
      </x:c>
      <x:c r="F50" s="7" t="n">
        <x:v>46266</x:v>
      </x:c>
    </x:row>
    <x:row r="51" ht="22" customHeight="1">
      <x:c r="A51" s="8" t="n">
        <x:v>45722</x:v>
      </x:c>
      <x:c r="B51" s="7" t="str">
        <x:v>CA_EQ</x:v>
      </x:c>
      <x:c r="C51" s="7" t="n">
        <x:v>100.796807</x:v>
      </x:c>
      <x:c r="D51" s="7" t="n">
        <x:v>100.796807</x:v>
      </x:c>
      <x:c r="E51" s="7" t="str">
        <x:v>SYNTHETIC: seeded teaching dataset; not observed market data</x:v>
      </x:c>
      <x:c r="F51" s="7" t="n">
        <x:v>46266</x:v>
      </x:c>
    </x:row>
    <x:row r="52" ht="22" customHeight="1">
      <x:c r="A52" s="8" t="n">
        <x:v>45723</x:v>
      </x:c>
      <x:c r="B52" s="7" t="str">
        <x:v>CA_EQ</x:v>
      </x:c>
      <x:c r="C52" s="7" t="n">
        <x:v>101.227472323</x:v>
      </x:c>
      <x:c r="D52" s="7" t="n">
        <x:v>101.227472323</x:v>
      </x:c>
      <x:c r="E52" s="7" t="str">
        <x:v>SYNTHETIC: seeded teaching dataset; not observed market data</x:v>
      </x:c>
      <x:c r="F52" s="7" t="n">
        <x:v>46266</x:v>
      </x:c>
    </x:row>
    <x:row r="53" ht="22" customHeight="1">
      <x:c r="A53" s="8" t="n">
        <x:v>45726</x:v>
      </x:c>
      <x:c r="B53" s="7" t="str">
        <x:v>CA_EQ</x:v>
      </x:c>
      <x:c r="C53" s="7" t="n">
        <x:v>102.5880263168</x:v>
      </x:c>
      <x:c r="D53" s="7" t="n">
        <x:v>102.5880263168</x:v>
      </x:c>
      <x:c r="E53" s="7" t="str">
        <x:v>SYNTHETIC: seeded teaching dataset; not observed market data</x:v>
      </x:c>
      <x:c r="F53" s="7" t="n">
        <x:v>46266</x:v>
      </x:c>
    </x:row>
    <x:row r="54" ht="22" customHeight="1">
      <x:c r="A54" s="8" t="n">
        <x:v>45727</x:v>
      </x:c>
      <x:c r="B54" s="7" t="str">
        <x:v>CA_EQ</x:v>
      </x:c>
      <x:c r="C54" s="7" t="n">
        <x:v>102.6635158419</x:v>
      </x:c>
      <x:c r="D54" s="7" t="n">
        <x:v>102.6635158419</x:v>
      </x:c>
      <x:c r="E54" s="7" t="str">
        <x:v>SYNTHETIC: seeded teaching dataset; not observed market data</x:v>
      </x:c>
      <x:c r="F54" s="7" t="n">
        <x:v>46266</x:v>
      </x:c>
    </x:row>
    <x:row r="55" ht="22" customHeight="1">
      <x:c r="A55" s="8" t="n">
        <x:v>45728</x:v>
      </x:c>
      <x:c r="B55" s="7" t="str">
        <x:v>CA_EQ</x:v>
      </x:c>
      <x:c r="C55" s="7" t="n">
        <x:v>103.3798520373</x:v>
      </x:c>
      <x:c r="D55" s="7" t="n">
        <x:v>103.3798520373</x:v>
      </x:c>
      <x:c r="E55" s="7" t="str">
        <x:v>SYNTHETIC: seeded teaching dataset; not observed market data</x:v>
      </x:c>
      <x:c r="F55" s="7" t="n">
        <x:v>46266</x:v>
      </x:c>
    </x:row>
    <x:row r="56" ht="22" customHeight="1">
      <x:c r="A56" s="8" t="n">
        <x:v>45729</x:v>
      </x:c>
      <x:c r="B56" s="7" t="str">
        <x:v>CA_EQ</x:v>
      </x:c>
      <x:c r="C56" s="7" t="n">
        <x:v>104.6813756814</x:v>
      </x:c>
      <x:c r="D56" s="7" t="n">
        <x:v>104.6813756814</x:v>
      </x:c>
      <x:c r="E56" s="7" t="str">
        <x:v>SYNTHETIC: seeded teaching dataset; not observed market data</x:v>
      </x:c>
      <x:c r="F56" s="7" t="n">
        <x:v>46266</x:v>
      </x:c>
    </x:row>
    <x:row r="57" ht="22" customHeight="1">
      <x:c r="A57" s="8" t="n">
        <x:v>45730</x:v>
      </x:c>
      <x:c r="B57" s="7" t="str">
        <x:v>CA_EQ</x:v>
      </x:c>
      <x:c r="C57" s="7" t="n">
        <x:v>104.3969495235</x:v>
      </x:c>
      <x:c r="D57" s="7" t="n">
        <x:v>104.3969495235</x:v>
      </x:c>
      <x:c r="E57" s="7" t="str">
        <x:v>SYNTHETIC: seeded teaching dataset; not observed market data</x:v>
      </x:c>
      <x:c r="F57" s="7" t="n">
        <x:v>46266</x:v>
      </x:c>
    </x:row>
    <x:row r="58" ht="22" customHeight="1">
      <x:c r="A58" s="8" t="n">
        <x:v>45733</x:v>
      </x:c>
      <x:c r="B58" s="7" t="str">
        <x:v>CA_EQ</x:v>
      </x:c>
      <x:c r="C58" s="7" t="n">
        <x:v>105.2669067384</x:v>
      </x:c>
      <x:c r="D58" s="7" t="n">
        <x:v>105.2669067384</x:v>
      </x:c>
      <x:c r="E58" s="7" t="str">
        <x:v>SYNTHETIC: seeded teaching dataset; not observed market data</x:v>
      </x:c>
      <x:c r="F58" s="7" t="n">
        <x:v>46266</x:v>
      </x:c>
    </x:row>
    <x:row r="59" ht="22" customHeight="1">
      <x:c r="A59" s="8" t="n">
        <x:v>45734</x:v>
      </x:c>
      <x:c r="B59" s="7" t="str">
        <x:v>CA_EQ</x:v>
      </x:c>
      <x:c r="C59" s="7" t="n">
        <x:v>104.1729972551</x:v>
      </x:c>
      <x:c r="D59" s="7" t="n">
        <x:v>104.1729972551</x:v>
      </x:c>
      <x:c r="E59" s="7" t="str">
        <x:v>SYNTHETIC: seeded teaching dataset; not observed market data</x:v>
      </x:c>
      <x:c r="F59" s="7" t="n">
        <x:v>46266</x:v>
      </x:c>
    </x:row>
    <x:row r="60" ht="22" customHeight="1">
      <x:c r="A60" s="8" t="n">
        <x:v>45735</x:v>
      </x:c>
      <x:c r="B60" s="7" t="str">
        <x:v>CA_EQ</x:v>
      </x:c>
      <x:c r="C60" s="7" t="n">
        <x:v>103.6604103571</x:v>
      </x:c>
      <x:c r="D60" s="7" t="n">
        <x:v>103.6604103571</x:v>
      </x:c>
      <x:c r="E60" s="7" t="str">
        <x:v>SYNTHETIC: seeded teaching dataset; not observed market data</x:v>
      </x:c>
      <x:c r="F60" s="7" t="n">
        <x:v>46266</x:v>
      </x:c>
    </x:row>
    <x:row r="61" ht="22" customHeight="1">
      <x:c r="A61" s="8" t="n">
        <x:v>45736</x:v>
      </x:c>
      <x:c r="B61" s="7" t="str">
        <x:v>CA_EQ</x:v>
      </x:c>
      <x:c r="C61" s="7" t="n">
        <x:v>105.4362384513</x:v>
      </x:c>
      <x:c r="D61" s="7" t="n">
        <x:v>105.4362384513</x:v>
      </x:c>
      <x:c r="E61" s="7" t="str">
        <x:v>SYNTHETIC: seeded teaching dataset; not observed market data</x:v>
      </x:c>
      <x:c r="F61" s="7" t="n">
        <x:v>46266</x:v>
      </x:c>
    </x:row>
    <x:row r="62" ht="22" customHeight="1">
      <x:c r="A62" s="8" t="n">
        <x:v>45737</x:v>
      </x:c>
      <x:c r="B62" s="7" t="str">
        <x:v>CA_EQ</x:v>
      </x:c>
      <x:c r="C62" s="7" t="n">
        <x:v>104.1001150653</x:v>
      </x:c>
      <x:c r="D62" s="7" t="n">
        <x:v>104.1001150653</x:v>
      </x:c>
      <x:c r="E62" s="7" t="str">
        <x:v>SYNTHETIC: seeded teaching dataset; not observed market data</x:v>
      </x:c>
      <x:c r="F62" s="7" t="n">
        <x:v>46266</x:v>
      </x:c>
    </x:row>
    <x:row r="63" ht="22" customHeight="1">
      <x:c r="A63" s="8" t="n">
        <x:v>45740</x:v>
      </x:c>
      <x:c r="B63" s="7" t="str">
        <x:v>CA_EQ</x:v>
      </x:c>
      <x:c r="C63" s="7" t="n">
        <x:v>103.603193378</x:v>
      </x:c>
      <x:c r="D63" s="7" t="n">
        <x:v>103.603193378</x:v>
      </x:c>
      <x:c r="E63" s="7" t="str">
        <x:v>SYNTHETIC: seeded teaching dataset; not observed market data</x:v>
      </x:c>
      <x:c r="F63" s="7" t="n">
        <x:v>46266</x:v>
      </x:c>
    </x:row>
    <x:row r="64" ht="22" customHeight="1">
      <x:c r="A64" s="8" t="n">
        <x:v>45741</x:v>
      </x:c>
      <x:c r="B64" s="7" t="str">
        <x:v>CA_EQ</x:v>
      </x:c>
      <x:c r="C64" s="7" t="n">
        <x:v>101.3460616314</x:v>
      </x:c>
      <x:c r="D64" s="7" t="n">
        <x:v>101.3460616314</x:v>
      </x:c>
      <x:c r="E64" s="7" t="str">
        <x:v>SYNTHETIC: seeded teaching dataset; not observed market data</x:v>
      </x:c>
      <x:c r="F64" s="7" t="n">
        <x:v>46266</x:v>
      </x:c>
    </x:row>
    <x:row r="65" ht="22" customHeight="1">
      <x:c r="A65" s="8" t="n">
        <x:v>45742</x:v>
      </x:c>
      <x:c r="B65" s="7" t="str">
        <x:v>CA_EQ</x:v>
      </x:c>
      <x:c r="C65" s="7" t="n">
        <x:v>102.3027683536</x:v>
      </x:c>
      <x:c r="D65" s="7" t="n">
        <x:v>102.3027683536</x:v>
      </x:c>
      <x:c r="E65" s="7" t="str">
        <x:v>SYNTHETIC: seeded teaching dataset; not observed market data</x:v>
      </x:c>
      <x:c r="F65" s="7" t="n">
        <x:v>46266</x:v>
      </x:c>
    </x:row>
    <x:row r="66" ht="22" customHeight="1">
      <x:c r="A66" s="8" t="n">
        <x:v>45743</x:v>
      </x:c>
      <x:c r="B66" s="7" t="str">
        <x:v>CA_EQ</x:v>
      </x:c>
      <x:c r="C66" s="7" t="n">
        <x:v>101.7846281875</x:v>
      </x:c>
      <x:c r="D66" s="7" t="n">
        <x:v>101.7846281875</x:v>
      </x:c>
      <x:c r="E66" s="7" t="str">
        <x:v>SYNTHETIC: seeded teaching dataset; not observed market data</x:v>
      </x:c>
      <x:c r="F66" s="7" t="n">
        <x:v>46266</x:v>
      </x:c>
    </x:row>
    <x:row r="67" ht="22" customHeight="1">
      <x:c r="A67" s="8" t="n">
        <x:v>45744</x:v>
      </x:c>
      <x:c r="B67" s="7" t="str">
        <x:v>CA_EQ</x:v>
      </x:c>
      <x:c r="C67" s="7" t="n">
        <x:v>102.8027624104</x:v>
      </x:c>
      <x:c r="D67" s="7" t="n">
        <x:v>102.8027624104</x:v>
      </x:c>
      <x:c r="E67" s="7" t="str">
        <x:v>SYNTHETIC: seeded teaching dataset; not observed market data</x:v>
      </x:c>
      <x:c r="F67" s="7" t="n">
        <x:v>46266</x:v>
      </x:c>
    </x:row>
    <x:row r="68" ht="22" customHeight="1">
      <x:c r="A68" s="8" t="n">
        <x:v>45747</x:v>
      </x:c>
      <x:c r="B68" s="7" t="str">
        <x:v>CA_EQ</x:v>
      </x:c>
      <x:c r="C68" s="7" t="n">
        <x:v>103.3054841189</x:v>
      </x:c>
      <x:c r="D68" s="7" t="n">
        <x:v>103.3054841189</x:v>
      </x:c>
      <x:c r="E68" s="7" t="str">
        <x:v>SYNTHETIC: seeded teaching dataset; not observed market data</x:v>
      </x:c>
      <x:c r="F68" s="7" t="n">
        <x:v>46266</x:v>
      </x:c>
    </x:row>
    <x:row r="69" ht="22" customHeight="1">
      <x:c r="A69" s="8" t="n">
        <x:v>45748</x:v>
      </x:c>
      <x:c r="B69" s="7" t="str">
        <x:v>CA_EQ</x:v>
      </x:c>
      <x:c r="C69" s="7" t="n">
        <x:v>101.4054233866</x:v>
      </x:c>
      <x:c r="D69" s="7" t="n">
        <x:v>101.4054233866</x:v>
      </x:c>
      <x:c r="E69" s="7" t="str">
        <x:v>SYNTHETIC: seeded teaching dataset; not observed market data</x:v>
      </x:c>
      <x:c r="F69" s="7" t="n">
        <x:v>46266</x:v>
      </x:c>
    </x:row>
    <x:row r="70" ht="22" customHeight="1">
      <x:c r="A70" s="8" t="n">
        <x:v>45749</x:v>
      </x:c>
      <x:c r="B70" s="7" t="str">
        <x:v>CA_EQ</x:v>
      </x:c>
      <x:c r="C70" s="7" t="n">
        <x:v>99.2904172872</x:v>
      </x:c>
      <x:c r="D70" s="7" t="n">
        <x:v>99.2904172872</x:v>
      </x:c>
      <x:c r="E70" s="7" t="str">
        <x:v>SYNTHETIC: seeded teaching dataset; not observed market data</x:v>
      </x:c>
      <x:c r="F70" s="7" t="n">
        <x:v>46266</x:v>
      </x:c>
    </x:row>
    <x:row r="71" ht="22" customHeight="1">
      <x:c r="A71" s="8" t="n">
        <x:v>45750</x:v>
      </x:c>
      <x:c r="B71" s="7" t="str">
        <x:v>CA_EQ</x:v>
      </x:c>
      <x:c r="C71" s="7" t="n">
        <x:v>101.1626956431</x:v>
      </x:c>
      <x:c r="D71" s="7" t="n">
        <x:v>101.1626956431</x:v>
      </x:c>
      <x:c r="E71" s="7" t="str">
        <x:v>SYNTHETIC: seeded teaching dataset; not observed market data</x:v>
      </x:c>
      <x:c r="F71" s="7" t="n">
        <x:v>46266</x:v>
      </x:c>
    </x:row>
    <x:row r="72" ht="22" customHeight="1">
      <x:c r="A72" s="8" t="n">
        <x:v>45751</x:v>
      </x:c>
      <x:c r="B72" s="7" t="str">
        <x:v>CA_EQ</x:v>
      </x:c>
      <x:c r="C72" s="7" t="n">
        <x:v>100.6436690003</x:v>
      </x:c>
      <x:c r="D72" s="7" t="n">
        <x:v>100.6436690003</x:v>
      </x:c>
      <x:c r="E72" s="7" t="str">
        <x:v>SYNTHETIC: seeded teaching dataset; not observed market data</x:v>
      </x:c>
      <x:c r="F72" s="7" t="n">
        <x:v>46266</x:v>
      </x:c>
    </x:row>
    <x:row r="73" ht="22" customHeight="1">
      <x:c r="A73" s="8" t="n">
        <x:v>45754</x:v>
      </x:c>
      <x:c r="B73" s="7" t="str">
        <x:v>CA_EQ</x:v>
      </x:c>
      <x:c r="C73" s="7" t="n">
        <x:v>101.1987341434</x:v>
      </x:c>
      <x:c r="D73" s="7" t="n">
        <x:v>101.1987341434</x:v>
      </x:c>
      <x:c r="E73" s="7" t="str">
        <x:v>SYNTHETIC: seeded teaching dataset; not observed market data</x:v>
      </x:c>
      <x:c r="F73" s="7" t="n">
        <x:v>46266</x:v>
      </x:c>
    </x:row>
    <x:row r="74" ht="22" customHeight="1">
      <x:c r="A74" s="8" t="n">
        <x:v>45755</x:v>
      </x:c>
      <x:c r="B74" s="7" t="str">
        <x:v>CA_EQ</x:v>
      </x:c>
      <x:c r="C74" s="7" t="n">
        <x:v>101.4726099454</x:v>
      </x:c>
      <x:c r="D74" s="7" t="n">
        <x:v>101.4726099454</x:v>
      </x:c>
      <x:c r="E74" s="7" t="str">
        <x:v>SYNTHETIC: seeded teaching dataset; not observed market data</x:v>
      </x:c>
      <x:c r="F74" s="7" t="n">
        <x:v>46266</x:v>
      </x:c>
    </x:row>
    <x:row r="75" ht="22" customHeight="1">
      <x:c r="A75" s="8" t="n">
        <x:v>45756</x:v>
      </x:c>
      <x:c r="B75" s="7" t="str">
        <x:v>CA_EQ</x:v>
      </x:c>
      <x:c r="C75" s="7" t="n">
        <x:v>100.2100034737</x:v>
      </x:c>
      <x:c r="D75" s="7" t="n">
        <x:v>100.2100034737</x:v>
      </x:c>
      <x:c r="E75" s="7" t="str">
        <x:v>SYNTHETIC: seeded teaching dataset; not observed market data</x:v>
      </x:c>
      <x:c r="F75" s="7" t="n">
        <x:v>46266</x:v>
      </x:c>
    </x:row>
    <x:row r="76" ht="22" customHeight="1">
      <x:c r="A76" s="8" t="n">
        <x:v>45757</x:v>
      </x:c>
      <x:c r="B76" s="7" t="str">
        <x:v>CA_EQ</x:v>
      </x:c>
      <x:c r="C76" s="7" t="n">
        <x:v>101.8497765867</x:v>
      </x:c>
      <x:c r="D76" s="7" t="n">
        <x:v>101.8497765867</x:v>
      </x:c>
      <x:c r="E76" s="7" t="str">
        <x:v>SYNTHETIC: seeded teaching dataset; not observed market data</x:v>
      </x:c>
      <x:c r="F76" s="7" t="n">
        <x:v>46266</x:v>
      </x:c>
    </x:row>
    <x:row r="77" ht="22" customHeight="1">
      <x:c r="A77" s="8" t="n">
        <x:v>45758</x:v>
      </x:c>
      <x:c r="B77" s="7" t="str">
        <x:v>CA_EQ</x:v>
      </x:c>
      <x:c r="C77" s="7" t="n">
        <x:v>102.565473301</x:v>
      </x:c>
      <x:c r="D77" s="7" t="n">
        <x:v>102.565473301</x:v>
      </x:c>
      <x:c r="E77" s="7" t="str">
        <x:v>SYNTHETIC: seeded teaching dataset; not observed market data</x:v>
      </x:c>
      <x:c r="F77" s="7" t="n">
        <x:v>46266</x:v>
      </x:c>
    </x:row>
    <x:row r="78" ht="22" customHeight="1">
      <x:c r="A78" s="8" t="n">
        <x:v>45761</x:v>
      </x:c>
      <x:c r="B78" s="7" t="str">
        <x:v>CA_EQ</x:v>
      </x:c>
      <x:c r="C78" s="7" t="n">
        <x:v>103.1328045666</x:v>
      </x:c>
      <x:c r="D78" s="7" t="n">
        <x:v>103.1328045666</x:v>
      </x:c>
      <x:c r="E78" s="7" t="str">
        <x:v>SYNTHETIC: seeded teaching dataset; not observed market data</x:v>
      </x:c>
      <x:c r="F78" s="7" t="n">
        <x:v>46266</x:v>
      </x:c>
    </x:row>
    <x:row r="79" ht="22" customHeight="1">
      <x:c r="A79" s="8" t="n">
        <x:v>45762</x:v>
      </x:c>
      <x:c r="B79" s="7" t="str">
        <x:v>CA_EQ</x:v>
      </x:c>
      <x:c r="C79" s="7" t="n">
        <x:v>103.1194809944</x:v>
      </x:c>
      <x:c r="D79" s="7" t="n">
        <x:v>103.1194809944</x:v>
      </x:c>
      <x:c r="E79" s="7" t="str">
        <x:v>SYNTHETIC: seeded teaching dataset; not observed market data</x:v>
      </x:c>
      <x:c r="F79" s="7" t="n">
        <x:v>46266</x:v>
      </x:c>
    </x:row>
    <x:row r="80" ht="22" customHeight="1">
      <x:c r="A80" s="8" t="n">
        <x:v>45763</x:v>
      </x:c>
      <x:c r="B80" s="7" t="str">
        <x:v>CA_EQ</x:v>
      </x:c>
      <x:c r="C80" s="7" t="n">
        <x:v>104.1397240806</x:v>
      </x:c>
      <x:c r="D80" s="7" t="n">
        <x:v>104.1397240806</x:v>
      </x:c>
      <x:c r="E80" s="7" t="str">
        <x:v>SYNTHETIC: seeded teaching dataset; not observed market data</x:v>
      </x:c>
      <x:c r="F80" s="7" t="n">
        <x:v>46266</x:v>
      </x:c>
    </x:row>
    <x:row r="81" ht="22" customHeight="1">
      <x:c r="A81" s="8" t="n">
        <x:v>45764</x:v>
      </x:c>
      <x:c r="B81" s="7" t="str">
        <x:v>CA_EQ</x:v>
      </x:c>
      <x:c r="C81" s="7" t="n">
        <x:v>103.8378199257</x:v>
      </x:c>
      <x:c r="D81" s="7" t="n">
        <x:v>103.8378199257</x:v>
      </x:c>
      <x:c r="E81" s="7" t="str">
        <x:v>SYNTHETIC: seeded teaching dataset; not observed market data</x:v>
      </x:c>
      <x:c r="F81" s="7" t="n">
        <x:v>46266</x:v>
      </x:c>
    </x:row>
    <x:row r="82" ht="22" customHeight="1">
      <x:c r="A82" s="8" t="n">
        <x:v>45765</x:v>
      </x:c>
      <x:c r="B82" s="7" t="str">
        <x:v>CA_EQ</x:v>
      </x:c>
      <x:c r="C82" s="7" t="n">
        <x:v>103.7003587257</x:v>
      </x:c>
      <x:c r="D82" s="7" t="n">
        <x:v>103.7003587257</x:v>
      </x:c>
      <x:c r="E82" s="7" t="str">
        <x:v>SYNTHETIC: seeded teaching dataset; not observed market data</x:v>
      </x:c>
      <x:c r="F82" s="7" t="n">
        <x:v>46266</x:v>
      </x:c>
    </x:row>
    <x:row r="83" ht="22" customHeight="1">
      <x:c r="A83" s="8" t="n">
        <x:v>45768</x:v>
      </x:c>
      <x:c r="B83" s="7" t="str">
        <x:v>CA_EQ</x:v>
      </x:c>
      <x:c r="C83" s="7" t="n">
        <x:v>102.4915193007</x:v>
      </x:c>
      <x:c r="D83" s="7" t="n">
        <x:v>102.4915193007</x:v>
      </x:c>
      <x:c r="E83" s="7" t="str">
        <x:v>SYNTHETIC: seeded teaching dataset; not observed market data</x:v>
      </x:c>
      <x:c r="F83" s="7" t="n">
        <x:v>46266</x:v>
      </x:c>
    </x:row>
    <x:row r="84" ht="22" customHeight="1">
      <x:c r="A84" s="8" t="n">
        <x:v>45769</x:v>
      </x:c>
      <x:c r="B84" s="7" t="str">
        <x:v>CA_EQ</x:v>
      </x:c>
      <x:c r="C84" s="7" t="n">
        <x:v>102.1033124717</x:v>
      </x:c>
      <x:c r="D84" s="7" t="n">
        <x:v>102.1033124717</x:v>
      </x:c>
      <x:c r="E84" s="7" t="str">
        <x:v>SYNTHETIC: seeded teaching dataset; not observed market data</x:v>
      </x:c>
      <x:c r="F84" s="7" t="n">
        <x:v>46266</x:v>
      </x:c>
    </x:row>
    <x:row r="85" ht="22" customHeight="1">
      <x:c r="A85" s="8" t="n">
        <x:v>45770</x:v>
      </x:c>
      <x:c r="B85" s="7" t="str">
        <x:v>CA_EQ</x:v>
      </x:c>
      <x:c r="C85" s="7" t="n">
        <x:v>100.1099033014</x:v>
      </x:c>
      <x:c r="D85" s="7" t="n">
        <x:v>100.1099033014</x:v>
      </x:c>
      <x:c r="E85" s="7" t="str">
        <x:v>SYNTHETIC: seeded teaching dataset; not observed market data</x:v>
      </x:c>
      <x:c r="F85" s="7" t="n">
        <x:v>46266</x:v>
      </x:c>
    </x:row>
    <x:row r="86" ht="22" customHeight="1">
      <x:c r="A86" s="8" t="n">
        <x:v>45771</x:v>
      </x:c>
      <x:c r="B86" s="7" t="str">
        <x:v>CA_EQ</x:v>
      </x:c>
      <x:c r="C86" s="7" t="n">
        <x:v>101.1306506462</x:v>
      </x:c>
      <x:c r="D86" s="7" t="n">
        <x:v>101.1306506462</x:v>
      </x:c>
      <x:c r="E86" s="7" t="str">
        <x:v>SYNTHETIC: seeded teaching dataset; not observed market data</x:v>
      </x:c>
      <x:c r="F86" s="7" t="n">
        <x:v>46266</x:v>
      </x:c>
    </x:row>
    <x:row r="87" ht="22" customHeight="1">
      <x:c r="A87" s="8" t="n">
        <x:v>45772</x:v>
      </x:c>
      <x:c r="B87" s="7" t="str">
        <x:v>CA_EQ</x:v>
      </x:c>
      <x:c r="C87" s="7" t="n">
        <x:v>101.6016904766</x:v>
      </x:c>
      <x:c r="D87" s="7" t="n">
        <x:v>101.6016904766</x:v>
      </x:c>
      <x:c r="E87" s="7" t="str">
        <x:v>SYNTHETIC: seeded teaching dataset; not observed market data</x:v>
      </x:c>
      <x:c r="F87" s="7" t="n">
        <x:v>46266</x:v>
      </x:c>
    </x:row>
    <x:row r="88" ht="22" customHeight="1">
      <x:c r="A88" s="8" t="n">
        <x:v>45775</x:v>
      </x:c>
      <x:c r="B88" s="7" t="str">
        <x:v>CA_EQ</x:v>
      </x:c>
      <x:c r="C88" s="7" t="n">
        <x:v>101.6696916069</x:v>
      </x:c>
      <x:c r="D88" s="7" t="n">
        <x:v>101.6696916069</x:v>
      </x:c>
      <x:c r="E88" s="7" t="str">
        <x:v>SYNTHETIC: seeded teaching dataset; not observed market data</x:v>
      </x:c>
      <x:c r="F88" s="7" t="n">
        <x:v>46266</x:v>
      </x:c>
    </x:row>
    <x:row r="89" ht="22" customHeight="1">
      <x:c r="A89" s="8" t="n">
        <x:v>45776</x:v>
      </x:c>
      <x:c r="B89" s="7" t="str">
        <x:v>CA_EQ</x:v>
      </x:c>
      <x:c r="C89" s="7" t="n">
        <x:v>101.1665144724</x:v>
      </x:c>
      <x:c r="D89" s="7" t="n">
        <x:v>101.1665144724</x:v>
      </x:c>
      <x:c r="E89" s="7" t="str">
        <x:v>SYNTHETIC: seeded teaching dataset; not observed market data</x:v>
      </x:c>
      <x:c r="F89" s="7" t="n">
        <x:v>46266</x:v>
      </x:c>
    </x:row>
    <x:row r="90" ht="22" customHeight="1">
      <x:c r="A90" s="8" t="n">
        <x:v>45777</x:v>
      </x:c>
      <x:c r="B90" s="7" t="str">
        <x:v>CA_EQ</x:v>
      </x:c>
      <x:c r="C90" s="7" t="n">
        <x:v>102.332590403</x:v>
      </x:c>
      <x:c r="D90" s="7" t="n">
        <x:v>102.332590403</x:v>
      </x:c>
      <x:c r="E90" s="7" t="str">
        <x:v>SYNTHETIC: seeded teaching dataset; not observed market data</x:v>
      </x:c>
      <x:c r="F90" s="7" t="n">
        <x:v>46266</x:v>
      </x:c>
    </x:row>
    <x:row r="91" ht="22" customHeight="1">
      <x:c r="A91" s="8" t="n">
        <x:v>45778</x:v>
      </x:c>
      <x:c r="B91" s="7" t="str">
        <x:v>CA_EQ</x:v>
      </x:c>
      <x:c r="C91" s="7" t="n">
        <x:v>102.5835938198</x:v>
      </x:c>
      <x:c r="D91" s="7" t="n">
        <x:v>102.5835938198</x:v>
      </x:c>
      <x:c r="E91" s="7" t="str">
        <x:v>SYNTHETIC: seeded teaching dataset; not observed market data</x:v>
      </x:c>
      <x:c r="F91" s="7" t="n">
        <x:v>46266</x:v>
      </x:c>
    </x:row>
    <x:row r="92" ht="22" customHeight="1">
      <x:c r="A92" s="8" t="n">
        <x:v>45779</x:v>
      </x:c>
      <x:c r="B92" s="7" t="str">
        <x:v>CA_EQ</x:v>
      </x:c>
      <x:c r="C92" s="7" t="n">
        <x:v>99.7405472852</x:v>
      </x:c>
      <x:c r="D92" s="7" t="n">
        <x:v>99.7405472852</x:v>
      </x:c>
      <x:c r="E92" s="7" t="str">
        <x:v>SYNTHETIC: seeded teaching dataset; not observed market data</x:v>
      </x:c>
      <x:c r="F92" s="7" t="n">
        <x:v>46266</x:v>
      </x:c>
    </x:row>
    <x:row r="93" ht="22" customHeight="1">
      <x:c r="A93" s="8" t="n">
        <x:v>45782</x:v>
      </x:c>
      <x:c r="B93" s="7" t="str">
        <x:v>CA_EQ</x:v>
      </x:c>
      <x:c r="C93" s="7" t="n">
        <x:v>98.432590006</x:v>
      </x:c>
      <x:c r="D93" s="7" t="n">
        <x:v>98.432590006</x:v>
      </x:c>
      <x:c r="E93" s="7" t="str">
        <x:v>SYNTHETIC: seeded teaching dataset; not observed market data</x:v>
      </x:c>
      <x:c r="F93" s="7" t="n">
        <x:v>46266</x:v>
      </x:c>
    </x:row>
    <x:row r="94" ht="22" customHeight="1">
      <x:c r="A94" s="8" t="n">
        <x:v>45783</x:v>
      </x:c>
      <x:c r="B94" s="7" t="str">
        <x:v>CA_EQ</x:v>
      </x:c>
      <x:c r="C94" s="7" t="n">
        <x:v>97.274969888</x:v>
      </x:c>
      <x:c r="D94" s="7" t="n">
        <x:v>97.274969888</x:v>
      </x:c>
      <x:c r="E94" s="7" t="str">
        <x:v>SYNTHETIC: seeded teaching dataset; not observed market data</x:v>
      </x:c>
      <x:c r="F94" s="7" t="n">
        <x:v>46266</x:v>
      </x:c>
    </x:row>
    <x:row r="95" ht="22" customHeight="1">
      <x:c r="A95" s="8" t="n">
        <x:v>45784</x:v>
      </x:c>
      <x:c r="B95" s="7" t="str">
        <x:v>CA_EQ</x:v>
      </x:c>
      <x:c r="C95" s="7" t="n">
        <x:v>98.0442580086</x:v>
      </x:c>
      <x:c r="D95" s="7" t="n">
        <x:v>98.0442580086</x:v>
      </x:c>
      <x:c r="E95" s="7" t="str">
        <x:v>SYNTHETIC: seeded teaching dataset; not observed market data</x:v>
      </x:c>
      <x:c r="F95" s="7" t="n">
        <x:v>46266</x:v>
      </x:c>
    </x:row>
    <x:row r="96" ht="22" customHeight="1">
      <x:c r="A96" s="8" t="n">
        <x:v>45785</x:v>
      </x:c>
      <x:c r="B96" s="7" t="str">
        <x:v>CA_EQ</x:v>
      </x:c>
      <x:c r="C96" s="7" t="n">
        <x:v>97.8594060681</x:v>
      </x:c>
      <x:c r="D96" s="7" t="n">
        <x:v>97.8594060681</x:v>
      </x:c>
      <x:c r="E96" s="7" t="str">
        <x:v>SYNTHETIC: seeded teaching dataset; not observed market data</x:v>
      </x:c>
      <x:c r="F96" s="7" t="n">
        <x:v>46266</x:v>
      </x:c>
    </x:row>
    <x:row r="97" ht="22" customHeight="1">
      <x:c r="A97" s="8" t="n">
        <x:v>45786</x:v>
      </x:c>
      <x:c r="B97" s="7" t="str">
        <x:v>CA_EQ</x:v>
      </x:c>
      <x:c r="C97" s="7" t="n">
        <x:v>98.8173249586</x:v>
      </x:c>
      <x:c r="D97" s="7" t="n">
        <x:v>98.8173249586</x:v>
      </x:c>
      <x:c r="E97" s="7" t="str">
        <x:v>SYNTHETIC: seeded teaching dataset; not observed market data</x:v>
      </x:c>
      <x:c r="F97" s="7" t="n">
        <x:v>46266</x:v>
      </x:c>
    </x:row>
    <x:row r="98" ht="22" customHeight="1">
      <x:c r="A98" s="8" t="n">
        <x:v>45789</x:v>
      </x:c>
      <x:c r="B98" s="7" t="str">
        <x:v>CA_EQ</x:v>
      </x:c>
      <x:c r="C98" s="7" t="n">
        <x:v>100.7461884159</x:v>
      </x:c>
      <x:c r="D98" s="7" t="n">
        <x:v>100.7461884159</x:v>
      </x:c>
      <x:c r="E98" s="7" t="str">
        <x:v>SYNTHETIC: seeded teaching dataset; not observed market data</x:v>
      </x:c>
      <x:c r="F98" s="7" t="n">
        <x:v>46266</x:v>
      </x:c>
    </x:row>
    <x:row r="99" ht="22" customHeight="1">
      <x:c r="A99" s="8" t="n">
        <x:v>45790</x:v>
      </x:c>
      <x:c r="B99" s="7" t="str">
        <x:v>CA_EQ</x:v>
      </x:c>
      <x:c r="C99" s="7" t="n">
        <x:v>100.1398697281</x:v>
      </x:c>
      <x:c r="D99" s="7" t="n">
        <x:v>100.1398697281</x:v>
      </x:c>
      <x:c r="E99" s="7" t="str">
        <x:v>SYNTHETIC: seeded teaching dataset; not observed market data</x:v>
      </x:c>
      <x:c r="F99" s="7" t="n">
        <x:v>46266</x:v>
      </x:c>
    </x:row>
    <x:row r="100" ht="22" customHeight="1">
      <x:c r="A100" s="8" t="n">
        <x:v>45791</x:v>
      </x:c>
      <x:c r="B100" s="7" t="str">
        <x:v>CA_EQ</x:v>
      </x:c>
      <x:c r="C100" s="7" t="n">
        <x:v>99.5966910748</x:v>
      </x:c>
      <x:c r="D100" s="7" t="n">
        <x:v>99.5966910748</x:v>
      </x:c>
      <x:c r="E100" s="7" t="str">
        <x:v>SYNTHETIC: seeded teaching dataset; not observed market data</x:v>
      </x:c>
      <x:c r="F100" s="7" t="n">
        <x:v>46266</x:v>
      </x:c>
    </x:row>
    <x:row r="101" ht="22" customHeight="1">
      <x:c r="A101" s="8" t="n">
        <x:v>45792</x:v>
      </x:c>
      <x:c r="B101" s="7" t="str">
        <x:v>CA_EQ</x:v>
      </x:c>
      <x:c r="C101" s="7" t="n">
        <x:v>101.4402513413</x:v>
      </x:c>
      <x:c r="D101" s="7" t="n">
        <x:v>101.4402513413</x:v>
      </x:c>
      <x:c r="E101" s="7" t="str">
        <x:v>SYNTHETIC: seeded teaching dataset; not observed market data</x:v>
      </x:c>
      <x:c r="F101" s="7" t="n">
        <x:v>46266</x:v>
      </x:c>
    </x:row>
    <x:row r="102" ht="22" customHeight="1">
      <x:c r="A102" s="8" t="n">
        <x:v>45793</x:v>
      </x:c>
      <x:c r="B102" s="7" t="str">
        <x:v>CA_EQ</x:v>
      </x:c>
      <x:c r="C102" s="7" t="n">
        <x:v>100.8960986056</x:v>
      </x:c>
      <x:c r="D102" s="7" t="n">
        <x:v>100.8960986056</x:v>
      </x:c>
      <x:c r="E102" s="7" t="str">
        <x:v>SYNTHETIC: seeded teaching dataset; not observed market data</x:v>
      </x:c>
      <x:c r="F102" s="7" t="n">
        <x:v>46266</x:v>
      </x:c>
    </x:row>
    <x:row r="103" ht="22" customHeight="1">
      <x:c r="A103" s="8" t="n">
        <x:v>45796</x:v>
      </x:c>
      <x:c r="B103" s="7" t="str">
        <x:v>CA_EQ</x:v>
      </x:c>
      <x:c r="C103" s="7" t="n">
        <x:v>100.7969896754</x:v>
      </x:c>
      <x:c r="D103" s="7" t="n">
        <x:v>100.7969896754</x:v>
      </x:c>
      <x:c r="E103" s="7" t="str">
        <x:v>SYNTHETIC: seeded teaching dataset; not observed market data</x:v>
      </x:c>
      <x:c r="F103" s="7" t="n">
        <x:v>46266</x:v>
      </x:c>
    </x:row>
    <x:row r="104" ht="22" customHeight="1">
      <x:c r="A104" s="8" t="n">
        <x:v>45797</x:v>
      </x:c>
      <x:c r="B104" s="7" t="str">
        <x:v>CA_EQ</x:v>
      </x:c>
      <x:c r="C104" s="7" t="n">
        <x:v>100.8371460822</x:v>
      </x:c>
      <x:c r="D104" s="7" t="n">
        <x:v>100.8371460822</x:v>
      </x:c>
      <x:c r="E104" s="7" t="str">
        <x:v>SYNTHETIC: seeded teaching dataset; not observed market data</x:v>
      </x:c>
      <x:c r="F104" s="7" t="n">
        <x:v>46266</x:v>
      </x:c>
    </x:row>
    <x:row r="105" ht="22" customHeight="1">
      <x:c r="A105" s="8" t="n">
        <x:v>45798</x:v>
      </x:c>
      <x:c r="B105" s="7" t="str">
        <x:v>CA_EQ</x:v>
      </x:c>
      <x:c r="C105" s="7" t="n">
        <x:v>101.5118867438</x:v>
      </x:c>
      <x:c r="D105" s="7" t="n">
        <x:v>101.5118867438</x:v>
      </x:c>
      <x:c r="E105" s="7" t="str">
        <x:v>SYNTHETIC: seeded teaching dataset; not observed market data</x:v>
      </x:c>
      <x:c r="F105" s="7" t="n">
        <x:v>46266</x:v>
      </x:c>
    </x:row>
    <x:row r="106" ht="22" customHeight="1">
      <x:c r="A106" s="8" t="n">
        <x:v>45799</x:v>
      </x:c>
      <x:c r="B106" s="7" t="str">
        <x:v>CA_EQ</x:v>
      </x:c>
      <x:c r="C106" s="7" t="n">
        <x:v>102.0380882576</x:v>
      </x:c>
      <x:c r="D106" s="7" t="n">
        <x:v>102.0380882576</x:v>
      </x:c>
      <x:c r="E106" s="7" t="str">
        <x:v>SYNTHETIC: seeded teaching dataset; not observed market data</x:v>
      </x:c>
      <x:c r="F106" s="7" t="n">
        <x:v>46266</x:v>
      </x:c>
    </x:row>
    <x:row r="107" ht="22" customHeight="1">
      <x:c r="A107" s="8" t="n">
        <x:v>45800</x:v>
      </x:c>
      <x:c r="B107" s="7" t="str">
        <x:v>CA_EQ</x:v>
      </x:c>
      <x:c r="C107" s="7" t="n">
        <x:v>102.7150703465</x:v>
      </x:c>
      <x:c r="D107" s="7" t="n">
        <x:v>102.7150703465</x:v>
      </x:c>
      <x:c r="E107" s="7" t="str">
        <x:v>SYNTHETIC: seeded teaching dataset; not observed market data</x:v>
      </x:c>
      <x:c r="F107" s="7" t="n">
        <x:v>46266</x:v>
      </x:c>
    </x:row>
    <x:row r="108" ht="22" customHeight="1">
      <x:c r="A108" s="8" t="n">
        <x:v>45803</x:v>
      </x:c>
      <x:c r="B108" s="7" t="str">
        <x:v>CA_EQ</x:v>
      </x:c>
      <x:c r="C108" s="7" t="n">
        <x:v>102.9134075498</x:v>
      </x:c>
      <x:c r="D108" s="7" t="n">
        <x:v>102.9134075498</x:v>
      </x:c>
      <x:c r="E108" s="7" t="str">
        <x:v>SYNTHETIC: seeded teaching dataset; not observed market data</x:v>
      </x:c>
      <x:c r="F108" s="7" t="n">
        <x:v>46266</x:v>
      </x:c>
    </x:row>
    <x:row r="109" ht="22" customHeight="1">
      <x:c r="A109" s="8" t="n">
        <x:v>45804</x:v>
      </x:c>
      <x:c r="B109" s="7" t="str">
        <x:v>CA_EQ</x:v>
      </x:c>
      <x:c r="C109" s="7" t="n">
        <x:v>104.3040748384</x:v>
      </x:c>
      <x:c r="D109" s="7" t="n">
        <x:v>104.3040748384</x:v>
      </x:c>
      <x:c r="E109" s="7" t="str">
        <x:v>SYNTHETIC: seeded teaching dataset; not observed market data</x:v>
      </x:c>
      <x:c r="F109" s="7" t="n">
        <x:v>46266</x:v>
      </x:c>
    </x:row>
    <x:row r="110" ht="22" customHeight="1">
      <x:c r="A110" s="8" t="n">
        <x:v>45805</x:v>
      </x:c>
      <x:c r="B110" s="7" t="str">
        <x:v>CA_EQ</x:v>
      </x:c>
      <x:c r="C110" s="7" t="n">
        <x:v>102.2625006516</x:v>
      </x:c>
      <x:c r="D110" s="7" t="n">
        <x:v>102.2625006516</x:v>
      </x:c>
      <x:c r="E110" s="7" t="str">
        <x:v>SYNTHETIC: seeded teaching dataset; not observed market data</x:v>
      </x:c>
      <x:c r="F110" s="7" t="n">
        <x:v>46266</x:v>
      </x:c>
    </x:row>
    <x:row r="111" ht="22" customHeight="1">
      <x:c r="A111" s="8" t="n">
        <x:v>45806</x:v>
      </x:c>
      <x:c r="B111" s="7" t="str">
        <x:v>CA_EQ</x:v>
      </x:c>
      <x:c r="C111" s="7" t="n">
        <x:v>102.1600741069</x:v>
      </x:c>
      <x:c r="D111" s="7" t="n">
        <x:v>102.1600741069</x:v>
      </x:c>
      <x:c r="E111" s="7" t="str">
        <x:v>SYNTHETIC: seeded teaching dataset; not observed market data</x:v>
      </x:c>
      <x:c r="F111" s="7" t="n">
        <x:v>46266</x:v>
      </x:c>
    </x:row>
    <x:row r="112" ht="22" customHeight="1">
      <x:c r="A112" s="8" t="n">
        <x:v>45807</x:v>
      </x:c>
      <x:c r="B112" s="7" t="str">
        <x:v>CA_EQ</x:v>
      </x:c>
      <x:c r="C112" s="7" t="n">
        <x:v>101.7577081775</x:v>
      </x:c>
      <x:c r="D112" s="7" t="n">
        <x:v>101.7577081775</x:v>
      </x:c>
      <x:c r="E112" s="7" t="str">
        <x:v>SYNTHETIC: seeded teaching dataset; not observed market data</x:v>
      </x:c>
      <x:c r="F112" s="7" t="n">
        <x:v>46266</x:v>
      </x:c>
    </x:row>
    <x:row r="113" ht="22" customHeight="1">
      <x:c r="A113" s="8" t="n">
        <x:v>45810</x:v>
      </x:c>
      <x:c r="B113" s="7" t="str">
        <x:v>CA_EQ</x:v>
      </x:c>
      <x:c r="C113" s="7" t="n">
        <x:v>100.696510591</x:v>
      </x:c>
      <x:c r="D113" s="7" t="n">
        <x:v>100.696510591</x:v>
      </x:c>
      <x:c r="E113" s="7" t="str">
        <x:v>SYNTHETIC: seeded teaching dataset; not observed market data</x:v>
      </x:c>
      <x:c r="F113" s="7" t="n">
        <x:v>46266</x:v>
      </x:c>
    </x:row>
    <x:row r="114" ht="22" customHeight="1">
      <x:c r="A114" s="8" t="n">
        <x:v>45811</x:v>
      </x:c>
      <x:c r="B114" s="7" t="str">
        <x:v>CA_EQ</x:v>
      </x:c>
      <x:c r="C114" s="7" t="n">
        <x:v>99.7697081733</x:v>
      </x:c>
      <x:c r="D114" s="7" t="n">
        <x:v>99.7697081733</x:v>
      </x:c>
      <x:c r="E114" s="7" t="str">
        <x:v>SYNTHETIC: seeded teaching dataset; not observed market data</x:v>
      </x:c>
      <x:c r="F114" s="7" t="n">
        <x:v>46266</x:v>
      </x:c>
    </x:row>
    <x:row r="115" ht="22" customHeight="1">
      <x:c r="A115" s="8" t="n">
        <x:v>45812</x:v>
      </x:c>
      <x:c r="B115" s="7" t="str">
        <x:v>CA_EQ</x:v>
      </x:c>
      <x:c r="C115" s="7" t="n">
        <x:v>98.7839784952</x:v>
      </x:c>
      <x:c r="D115" s="7" t="n">
        <x:v>98.7839784952</x:v>
      </x:c>
      <x:c r="E115" s="7" t="str">
        <x:v>SYNTHETIC: seeded teaching dataset; not observed market data</x:v>
      </x:c>
      <x:c r="F115" s="7" t="n">
        <x:v>46266</x:v>
      </x:c>
    </x:row>
    <x:row r="116" ht="22" customHeight="1">
      <x:c r="A116" s="8" t="n">
        <x:v>45813</x:v>
      </x:c>
      <x:c r="B116" s="7" t="str">
        <x:v>CA_EQ</x:v>
      </x:c>
      <x:c r="C116" s="7" t="n">
        <x:v>97.8210154123</x:v>
      </x:c>
      <x:c r="D116" s="7" t="n">
        <x:v>97.8210154123</x:v>
      </x:c>
      <x:c r="E116" s="7" t="str">
        <x:v>SYNTHETIC: seeded teaching dataset; not observed market data</x:v>
      </x:c>
      <x:c r="F116" s="7" t="n">
        <x:v>46266</x:v>
      </x:c>
    </x:row>
    <x:row r="117" ht="22" customHeight="1">
      <x:c r="A117" s="8" t="n">
        <x:v>45814</x:v>
      </x:c>
      <x:c r="B117" s="7" t="str">
        <x:v>CA_EQ</x:v>
      </x:c>
      <x:c r="C117" s="7" t="n">
        <x:v>99.0515601562</x:v>
      </x:c>
      <x:c r="D117" s="7" t="n">
        <x:v>99.0515601562</x:v>
      </x:c>
      <x:c r="E117" s="7" t="str">
        <x:v>SYNTHETIC: seeded teaching dataset; not observed market data</x:v>
      </x:c>
      <x:c r="F117" s="7" t="n">
        <x:v>46266</x:v>
      </x:c>
    </x:row>
    <x:row r="118" ht="22" customHeight="1">
      <x:c r="A118" s="8" t="n">
        <x:v>45817</x:v>
      </x:c>
      <x:c r="B118" s="7" t="str">
        <x:v>CA_EQ</x:v>
      </x:c>
      <x:c r="C118" s="7" t="n">
        <x:v>99.1915797788</x:v>
      </x:c>
      <x:c r="D118" s="7" t="n">
        <x:v>99.1915797788</x:v>
      </x:c>
      <x:c r="E118" s="7" t="str">
        <x:v>SYNTHETIC: seeded teaching dataset; not observed market data</x:v>
      </x:c>
      <x:c r="F118" s="7" t="n">
        <x:v>46266</x:v>
      </x:c>
    </x:row>
    <x:row r="119" ht="22" customHeight="1">
      <x:c r="A119" s="8" t="n">
        <x:v>45818</x:v>
      </x:c>
      <x:c r="B119" s="7" t="str">
        <x:v>CA_EQ</x:v>
      </x:c>
      <x:c r="C119" s="7" t="n">
        <x:v>98.195712756</x:v>
      </x:c>
      <x:c r="D119" s="7" t="n">
        <x:v>98.195712756</x:v>
      </x:c>
      <x:c r="E119" s="7" t="str">
        <x:v>SYNTHETIC: seeded teaching dataset; not observed market data</x:v>
      </x:c>
      <x:c r="F119" s="7" t="n">
        <x:v>46266</x:v>
      </x:c>
    </x:row>
    <x:row r="120" ht="22" customHeight="1">
      <x:c r="A120" s="8" t="n">
        <x:v>45819</x:v>
      </x:c>
      <x:c r="B120" s="7" t="str">
        <x:v>CA_EQ</x:v>
      </x:c>
      <x:c r="C120" s="7" t="n">
        <x:v>96.2831845396</x:v>
      </x:c>
      <x:c r="D120" s="7" t="n">
        <x:v>96.2831845396</x:v>
      </x:c>
      <x:c r="E120" s="7" t="str">
        <x:v>SYNTHETIC: seeded teaching dataset; not observed market data</x:v>
      </x:c>
      <x:c r="F120" s="7" t="n">
        <x:v>46266</x:v>
      </x:c>
    </x:row>
    <x:row r="121" ht="22" customHeight="1">
      <x:c r="A121" s="8" t="n">
        <x:v>45820</x:v>
      </x:c>
      <x:c r="B121" s="7" t="str">
        <x:v>CA_EQ</x:v>
      </x:c>
      <x:c r="C121" s="7" t="n">
        <x:v>95.6862604531</x:v>
      </x:c>
      <x:c r="D121" s="7" t="n">
        <x:v>95.6862604531</x:v>
      </x:c>
      <x:c r="E121" s="7" t="str">
        <x:v>SYNTHETIC: seeded teaching dataset; not observed market data</x:v>
      </x:c>
      <x:c r="F121" s="7" t="n">
        <x:v>46266</x:v>
      </x:c>
    </x:row>
    <x:row r="122" ht="22" customHeight="1">
      <x:c r="A122" s="8" t="n">
        <x:v>45821</x:v>
      </x:c>
      <x:c r="B122" s="7" t="str">
        <x:v>CA_EQ</x:v>
      </x:c>
      <x:c r="C122" s="7" t="n">
        <x:v>97.152803117</x:v>
      </x:c>
      <x:c r="D122" s="7" t="n">
        <x:v>97.152803117</x:v>
      </x:c>
      <x:c r="E122" s="7" t="str">
        <x:v>SYNTHETIC: seeded teaching dataset; not observed market data</x:v>
      </x:c>
      <x:c r="F122" s="7" t="n">
        <x:v>46266</x:v>
      </x:c>
    </x:row>
    <x:row r="123" ht="22" customHeight="1">
      <x:c r="A123" s="8" t="n">
        <x:v>45824</x:v>
      </x:c>
      <x:c r="B123" s="7" t="str">
        <x:v>CA_EQ</x:v>
      </x:c>
      <x:c r="C123" s="7" t="n">
        <x:v>95.6666932225</x:v>
      </x:c>
      <x:c r="D123" s="7" t="n">
        <x:v>95.6666932225</x:v>
      </x:c>
      <x:c r="E123" s="7" t="str">
        <x:v>SYNTHETIC: seeded teaching dataset; not observed market data</x:v>
      </x:c>
      <x:c r="F123" s="7" t="n">
        <x:v>46266</x:v>
      </x:c>
    </x:row>
    <x:row r="124" ht="22" customHeight="1">
      <x:c r="A124" s="8" t="n">
        <x:v>45825</x:v>
      </x:c>
      <x:c r="B124" s="7" t="str">
        <x:v>CA_EQ</x:v>
      </x:c>
      <x:c r="C124" s="7" t="n">
        <x:v>95.8213664257</x:v>
      </x:c>
      <x:c r="D124" s="7" t="n">
        <x:v>95.8213664257</x:v>
      </x:c>
      <x:c r="E124" s="7" t="str">
        <x:v>SYNTHETIC: seeded teaching dataset; not observed market data</x:v>
      </x:c>
      <x:c r="F124" s="7" t="n">
        <x:v>46266</x:v>
      </x:c>
    </x:row>
    <x:row r="125" ht="22" customHeight="1">
      <x:c r="A125" s="8" t="n">
        <x:v>45826</x:v>
      </x:c>
      <x:c r="B125" s="7" t="str">
        <x:v>CA_EQ</x:v>
      </x:c>
      <x:c r="C125" s="7" t="n">
        <x:v>96.8940020689</x:v>
      </x:c>
      <x:c r="D125" s="7" t="n">
        <x:v>96.8940020689</x:v>
      </x:c>
      <x:c r="E125" s="7" t="str">
        <x:v>SYNTHETIC: seeded teaching dataset; not observed market data</x:v>
      </x:c>
      <x:c r="F125" s="7" t="n">
        <x:v>46266</x:v>
      </x:c>
    </x:row>
    <x:row r="126" ht="22" customHeight="1">
      <x:c r="A126" s="8" t="n">
        <x:v>45827</x:v>
      </x:c>
      <x:c r="B126" s="7" t="str">
        <x:v>CA_EQ</x:v>
      </x:c>
      <x:c r="C126" s="7" t="n">
        <x:v>97.6135714495</x:v>
      </x:c>
      <x:c r="D126" s="7" t="n">
        <x:v>97.6135714495</x:v>
      </x:c>
      <x:c r="E126" s="7" t="str">
        <x:v>SYNTHETIC: seeded teaching dataset; not observed market data</x:v>
      </x:c>
      <x:c r="F126" s="7" t="n">
        <x:v>46266</x:v>
      </x:c>
    </x:row>
    <x:row r="127" ht="22" customHeight="1">
      <x:c r="A127" s="8" t="n">
        <x:v>45828</x:v>
      </x:c>
      <x:c r="B127" s="7" t="str">
        <x:v>CA_EQ</x:v>
      </x:c>
      <x:c r="C127" s="7" t="n">
        <x:v>98.9569288472</x:v>
      </x:c>
      <x:c r="D127" s="7" t="n">
        <x:v>98.9569288472</x:v>
      </x:c>
      <x:c r="E127" s="7" t="str">
        <x:v>SYNTHETIC: seeded teaching dataset; not observed market data</x:v>
      </x:c>
      <x:c r="F127" s="7" t="n">
        <x:v>46266</x:v>
      </x:c>
    </x:row>
    <x:row r="128" ht="22" customHeight="1">
      <x:c r="A128" s="8" t="n">
        <x:v>45831</x:v>
      </x:c>
      <x:c r="B128" s="7" t="str">
        <x:v>CA_EQ</x:v>
      </x:c>
      <x:c r="C128" s="7" t="n">
        <x:v>99.1792212419</x:v>
      </x:c>
      <x:c r="D128" s="7" t="n">
        <x:v>99.1792212419</x:v>
      </x:c>
      <x:c r="E128" s="7" t="str">
        <x:v>SYNTHETIC: seeded teaching dataset; not observed market data</x:v>
      </x:c>
      <x:c r="F128" s="7" t="n">
        <x:v>46266</x:v>
      </x:c>
    </x:row>
    <x:row r="129" ht="22" customHeight="1">
      <x:c r="A129" s="8" t="n">
        <x:v>45832</x:v>
      </x:c>
      <x:c r="B129" s="7" t="str">
        <x:v>CA_EQ</x:v>
      </x:c>
      <x:c r="C129" s="7" t="n">
        <x:v>99.5176022534</x:v>
      </x:c>
      <x:c r="D129" s="7" t="n">
        <x:v>99.5176022534</x:v>
      </x:c>
      <x:c r="E129" s="7" t="str">
        <x:v>SYNTHETIC: seeded teaching dataset; not observed market data</x:v>
      </x:c>
      <x:c r="F129" s="7" t="n">
        <x:v>46266</x:v>
      </x:c>
    </x:row>
    <x:row r="130" ht="22" customHeight="1">
      <x:c r="A130" s="8" t="n">
        <x:v>45833</x:v>
      </x:c>
      <x:c r="B130" s="7" t="str">
        <x:v>CA_EQ</x:v>
      </x:c>
      <x:c r="C130" s="7" t="n">
        <x:v>100.0581293207</x:v>
      </x:c>
      <x:c r="D130" s="7" t="n">
        <x:v>100.0581293207</x:v>
      </x:c>
      <x:c r="E130" s="7" t="str">
        <x:v>SYNTHETIC: seeded teaching dataset; not observed market data</x:v>
      </x:c>
      <x:c r="F130" s="7" t="n">
        <x:v>46266</x:v>
      </x:c>
    </x:row>
    <x:row r="131" ht="22" customHeight="1">
      <x:c r="A131" s="8" t="n">
        <x:v>45834</x:v>
      </x:c>
      <x:c r="B131" s="7" t="str">
        <x:v>CA_EQ</x:v>
      </x:c>
      <x:c r="C131" s="7" t="n">
        <x:v>99.9849817359</x:v>
      </x:c>
      <x:c r="D131" s="7" t="n">
        <x:v>99.9849817359</x:v>
      </x:c>
      <x:c r="E131" s="7" t="str">
        <x:v>SYNTHETIC: seeded teaching dataset; not observed market data</x:v>
      </x:c>
      <x:c r="F131" s="7" t="n">
        <x:v>46266</x:v>
      </x:c>
    </x:row>
    <x:row r="132" ht="22" customHeight="1">
      <x:c r="A132" s="8" t="n">
        <x:v>45835</x:v>
      </x:c>
      <x:c r="B132" s="7" t="str">
        <x:v>CA_EQ</x:v>
      </x:c>
      <x:c r="C132" s="7" t="n">
        <x:v>98.3452688838</x:v>
      </x:c>
      <x:c r="D132" s="7" t="n">
        <x:v>98.3452688838</x:v>
      </x:c>
      <x:c r="E132" s="7" t="str">
        <x:v>SYNTHETIC: seeded teaching dataset; not observed market data</x:v>
      </x:c>
      <x:c r="F132" s="7" t="n">
        <x:v>46266</x:v>
      </x:c>
    </x:row>
    <x:row r="133" ht="22" customHeight="1">
      <x:c r="A133" s="8" t="n">
        <x:v>45838</x:v>
      </x:c>
      <x:c r="B133" s="7" t="str">
        <x:v>CA_EQ</x:v>
      </x:c>
      <x:c r="C133" s="7" t="n">
        <x:v>96.8040066183</x:v>
      </x:c>
      <x:c r="D133" s="7" t="n">
        <x:v>96.8040066183</x:v>
      </x:c>
      <x:c r="E133" s="7" t="str">
        <x:v>SYNTHETIC: seeded teaching dataset; not observed market data</x:v>
      </x:c>
      <x:c r="F133" s="7" t="n">
        <x:v>46266</x:v>
      </x:c>
    </x:row>
    <x:row r="134" ht="22" customHeight="1">
      <x:c r="A134" s="8" t="n">
        <x:v>45839</x:v>
      </x:c>
      <x:c r="B134" s="7" t="str">
        <x:v>CA_EQ</x:v>
      </x:c>
      <x:c r="C134" s="7" t="n">
        <x:v>97.4202026074</x:v>
      </x:c>
      <x:c r="D134" s="7" t="n">
        <x:v>97.4202026074</x:v>
      </x:c>
      <x:c r="E134" s="7" t="str">
        <x:v>SYNTHETIC: seeded teaching dataset; not observed market data</x:v>
      </x:c>
      <x:c r="F134" s="7" t="n">
        <x:v>46266</x:v>
      </x:c>
    </x:row>
    <x:row r="135" ht="22" customHeight="1">
      <x:c r="A135" s="8" t="n">
        <x:v>45840</x:v>
      </x:c>
      <x:c r="B135" s="7" t="str">
        <x:v>CA_EQ</x:v>
      </x:c>
      <x:c r="C135" s="7" t="n">
        <x:v>97.51117254</x:v>
      </x:c>
      <x:c r="D135" s="7" t="n">
        <x:v>97.51117254</x:v>
      </x:c>
      <x:c r="E135" s="7" t="str">
        <x:v>SYNTHETIC: seeded teaching dataset; not observed market data</x:v>
      </x:c>
      <x:c r="F135" s="7" t="n">
        <x:v>46266</x:v>
      </x:c>
    </x:row>
    <x:row r="136" ht="22" customHeight="1">
      <x:c r="A136" s="8" t="n">
        <x:v>45841</x:v>
      </x:c>
      <x:c r="B136" s="7" t="str">
        <x:v>CA_EQ</x:v>
      </x:c>
      <x:c r="C136" s="7" t="n">
        <x:v>96.377204406</x:v>
      </x:c>
      <x:c r="D136" s="7" t="n">
        <x:v>96.377204406</x:v>
      </x:c>
      <x:c r="E136" s="7" t="str">
        <x:v>SYNTHETIC: seeded teaching dataset; not observed market data</x:v>
      </x:c>
      <x:c r="F136" s="7" t="n">
        <x:v>46266</x:v>
      </x:c>
    </x:row>
    <x:row r="137" ht="22" customHeight="1">
      <x:c r="A137" s="8" t="n">
        <x:v>45842</x:v>
      </x:c>
      <x:c r="B137" s="7" t="str">
        <x:v>CA_EQ</x:v>
      </x:c>
      <x:c r="C137" s="7" t="n">
        <x:v>96.9128184776</x:v>
      </x:c>
      <x:c r="D137" s="7" t="n">
        <x:v>96.9128184776</x:v>
      </x:c>
      <x:c r="E137" s="7" t="str">
        <x:v>SYNTHETIC: seeded teaching dataset; not observed market data</x:v>
      </x:c>
      <x:c r="F137" s="7" t="n">
        <x:v>46266</x:v>
      </x:c>
    </x:row>
    <x:row r="138" ht="22" customHeight="1">
      <x:c r="A138" s="8" t="n">
        <x:v>45845</x:v>
      </x:c>
      <x:c r="B138" s="7" t="str">
        <x:v>CA_EQ</x:v>
      </x:c>
      <x:c r="C138" s="7" t="n">
        <x:v>95.3527549714</x:v>
      </x:c>
      <x:c r="D138" s="7" t="n">
        <x:v>95.3527549714</x:v>
      </x:c>
      <x:c r="E138" s="7" t="str">
        <x:v>SYNTHETIC: seeded teaching dataset; not observed market data</x:v>
      </x:c>
      <x:c r="F138" s="7" t="n">
        <x:v>46266</x:v>
      </x:c>
    </x:row>
    <x:row r="139" ht="22" customHeight="1">
      <x:c r="A139" s="8" t="n">
        <x:v>45846</x:v>
      </x:c>
      <x:c r="B139" s="7" t="str">
        <x:v>CA_EQ</x:v>
      </x:c>
      <x:c r="C139" s="7" t="n">
        <x:v>96.0853548528</x:v>
      </x:c>
      <x:c r="D139" s="7" t="n">
        <x:v>96.0853548528</x:v>
      </x:c>
      <x:c r="E139" s="7" t="str">
        <x:v>SYNTHETIC: seeded teaching dataset; not observed market data</x:v>
      </x:c>
      <x:c r="F139" s="7" t="n">
        <x:v>46266</x:v>
      </x:c>
    </x:row>
    <x:row r="140" ht="22" customHeight="1">
      <x:c r="A140" s="8" t="n">
        <x:v>45847</x:v>
      </x:c>
      <x:c r="B140" s="7" t="str">
        <x:v>CA_EQ</x:v>
      </x:c>
      <x:c r="C140" s="7" t="n">
        <x:v>95.6038493313</x:v>
      </x:c>
      <x:c r="D140" s="7" t="n">
        <x:v>95.6038493313</x:v>
      </x:c>
      <x:c r="E140" s="7" t="str">
        <x:v>SYNTHETIC: seeded teaching dataset; not observed market data</x:v>
      </x:c>
      <x:c r="F140" s="7" t="n">
        <x:v>46266</x:v>
      </x:c>
    </x:row>
    <x:row r="141" ht="22" customHeight="1">
      <x:c r="A141" s="8" t="n">
        <x:v>45848</x:v>
      </x:c>
      <x:c r="B141" s="7" t="str">
        <x:v>CA_EQ</x:v>
      </x:c>
      <x:c r="C141" s="7" t="n">
        <x:v>96.1693206132</x:v>
      </x:c>
      <x:c r="D141" s="7" t="n">
        <x:v>96.1693206132</x:v>
      </x:c>
      <x:c r="E141" s="7" t="str">
        <x:v>SYNTHETIC: seeded teaching dataset; not observed market data</x:v>
      </x:c>
      <x:c r="F141" s="7" t="n">
        <x:v>46266</x:v>
      </x:c>
    </x:row>
    <x:row r="142" ht="22" customHeight="1">
      <x:c r="A142" s="8" t="n">
        <x:v>45849</x:v>
      </x:c>
      <x:c r="B142" s="7" t="str">
        <x:v>CA_EQ</x:v>
      </x:c>
      <x:c r="C142" s="7" t="n">
        <x:v>95.9695480479</x:v>
      </x:c>
      <x:c r="D142" s="7" t="n">
        <x:v>95.9695480479</x:v>
      </x:c>
      <x:c r="E142" s="7" t="str">
        <x:v>SYNTHETIC: seeded teaching dataset; not observed market data</x:v>
      </x:c>
      <x:c r="F142" s="7" t="n">
        <x:v>46266</x:v>
      </x:c>
    </x:row>
    <x:row r="143" ht="22" customHeight="1">
      <x:c r="A143" s="8" t="n">
        <x:v>45852</x:v>
      </x:c>
      <x:c r="B143" s="7" t="str">
        <x:v>CA_EQ</x:v>
      </x:c>
      <x:c r="C143" s="7" t="n">
        <x:v>95.6393140527</x:v>
      </x:c>
      <x:c r="D143" s="7" t="n">
        <x:v>95.6393140527</x:v>
      </x:c>
      <x:c r="E143" s="7" t="str">
        <x:v>SYNTHETIC: seeded teaching dataset; not observed market data</x:v>
      </x:c>
      <x:c r="F143" s="7" t="n">
        <x:v>46266</x:v>
      </x:c>
    </x:row>
    <x:row r="144" ht="22" customHeight="1">
      <x:c r="A144" s="8" t="n">
        <x:v>45853</x:v>
      </x:c>
      <x:c r="B144" s="7" t="str">
        <x:v>CA_EQ</x:v>
      </x:c>
      <x:c r="C144" s="7" t="n">
        <x:v>95.9932703326</x:v>
      </x:c>
      <x:c r="D144" s="7" t="n">
        <x:v>95.9932703326</x:v>
      </x:c>
      <x:c r="E144" s="7" t="str">
        <x:v>SYNTHETIC: seeded teaching dataset; not observed market data</x:v>
      </x:c>
      <x:c r="F144" s="7" t="n">
        <x:v>46266</x:v>
      </x:c>
    </x:row>
    <x:row r="145" ht="22" customHeight="1">
      <x:c r="A145" s="8" t="n">
        <x:v>45854</x:v>
      </x:c>
      <x:c r="B145" s="7" t="str">
        <x:v>CA_EQ</x:v>
      </x:c>
      <x:c r="C145" s="7" t="n">
        <x:v>95.8323346318</x:v>
      </x:c>
      <x:c r="D145" s="7" t="n">
        <x:v>95.8323346318</x:v>
      </x:c>
      <x:c r="E145" s="7" t="str">
        <x:v>SYNTHETIC: seeded teaching dataset; not observed market data</x:v>
      </x:c>
      <x:c r="F145" s="7" t="n">
        <x:v>46266</x:v>
      </x:c>
    </x:row>
    <x:row r="146" ht="22" customHeight="1">
      <x:c r="A146" s="8" t="n">
        <x:v>45855</x:v>
      </x:c>
      <x:c r="B146" s="7" t="str">
        <x:v>CA_EQ</x:v>
      </x:c>
      <x:c r="C146" s="7" t="n">
        <x:v>94.6837319648</x:v>
      </x:c>
      <x:c r="D146" s="7" t="n">
        <x:v>94.6837319648</x:v>
      </x:c>
      <x:c r="E146" s="7" t="str">
        <x:v>SYNTHETIC: seeded teaching dataset; not observed market data</x:v>
      </x:c>
      <x:c r="F146" s="7" t="n">
        <x:v>46266</x:v>
      </x:c>
    </x:row>
    <x:row r="147" ht="22" customHeight="1">
      <x:c r="A147" s="8" t="n">
        <x:v>45856</x:v>
      </x:c>
      <x:c r="B147" s="7" t="str">
        <x:v>CA_EQ</x:v>
      </x:c>
      <x:c r="C147" s="7" t="n">
        <x:v>94.3706770999</x:v>
      </x:c>
      <x:c r="D147" s="7" t="n">
        <x:v>94.3706770999</x:v>
      </x:c>
      <x:c r="E147" s="7" t="str">
        <x:v>SYNTHETIC: seeded teaching dataset; not observed market data</x:v>
      </x:c>
      <x:c r="F147" s="7" t="n">
        <x:v>46266</x:v>
      </x:c>
    </x:row>
    <x:row r="148" ht="22" customHeight="1">
      <x:c r="A148" s="8" t="n">
        <x:v>45859</x:v>
      </x:c>
      <x:c r="B148" s="7" t="str">
        <x:v>CA_EQ</x:v>
      </x:c>
      <x:c r="C148" s="7" t="n">
        <x:v>93.6851383441</x:v>
      </x:c>
      <x:c r="D148" s="7" t="n">
        <x:v>93.6851383441</x:v>
      </x:c>
      <x:c r="E148" s="7" t="str">
        <x:v>SYNTHETIC: seeded teaching dataset; not observed market data</x:v>
      </x:c>
      <x:c r="F148" s="7" t="n">
        <x:v>46266</x:v>
      </x:c>
    </x:row>
    <x:row r="149" ht="22" customHeight="1">
      <x:c r="A149" s="8" t="n">
        <x:v>45860</x:v>
      </x:c>
      <x:c r="B149" s="7" t="str">
        <x:v>CA_EQ</x:v>
      </x:c>
      <x:c r="C149" s="7" t="n">
        <x:v>93.2249282205</x:v>
      </x:c>
      <x:c r="D149" s="7" t="n">
        <x:v>93.2249282205</x:v>
      </x:c>
      <x:c r="E149" s="7" t="str">
        <x:v>SYNTHETIC: seeded teaching dataset; not observed market data</x:v>
      </x:c>
      <x:c r="F149" s="7" t="n">
        <x:v>46266</x:v>
      </x:c>
    </x:row>
    <x:row r="150" ht="22" customHeight="1">
      <x:c r="A150" s="8" t="n">
        <x:v>45861</x:v>
      </x:c>
      <x:c r="B150" s="7" t="str">
        <x:v>CA_EQ</x:v>
      </x:c>
      <x:c r="C150" s="7" t="n">
        <x:v>95.4436979797</x:v>
      </x:c>
      <x:c r="D150" s="7" t="n">
        <x:v>95.4436979797</x:v>
      </x:c>
      <x:c r="E150" s="7" t="str">
        <x:v>SYNTHETIC: seeded teaching dataset; not observed market data</x:v>
      </x:c>
      <x:c r="F150" s="7" t="n">
        <x:v>46266</x:v>
      </x:c>
    </x:row>
    <x:row r="151" ht="22" customHeight="1">
      <x:c r="A151" s="8" t="n">
        <x:v>45862</x:v>
      </x:c>
      <x:c r="B151" s="7" t="str">
        <x:v>CA_EQ</x:v>
      </x:c>
      <x:c r="C151" s="7" t="n">
        <x:v>94.7439865513</x:v>
      </x:c>
      <x:c r="D151" s="7" t="n">
        <x:v>94.7439865513</x:v>
      </x:c>
      <x:c r="E151" s="7" t="str">
        <x:v>SYNTHETIC: seeded teaching dataset; not observed market data</x:v>
      </x:c>
      <x:c r="F151" s="7" t="n">
        <x:v>46266</x:v>
      </x:c>
    </x:row>
    <x:row r="152" ht="22" customHeight="1">
      <x:c r="A152" s="8" t="n">
        <x:v>45863</x:v>
      </x:c>
      <x:c r="B152" s="7" t="str">
        <x:v>CA_EQ</x:v>
      </x:c>
      <x:c r="C152" s="7" t="n">
        <x:v>95.3793593615</x:v>
      </x:c>
      <x:c r="D152" s="7" t="n">
        <x:v>95.3793593615</x:v>
      </x:c>
      <x:c r="E152" s="7" t="str">
        <x:v>SYNTHETIC: seeded teaching dataset; not observed market data</x:v>
      </x:c>
      <x:c r="F152" s="7" t="n">
        <x:v>46266</x:v>
      </x:c>
    </x:row>
    <x:row r="153" ht="22" customHeight="1">
      <x:c r="A153" s="8" t="n">
        <x:v>45866</x:v>
      </x:c>
      <x:c r="B153" s="7" t="str">
        <x:v>CA_EQ</x:v>
      </x:c>
      <x:c r="C153" s="7" t="n">
        <x:v>94.0520594612</x:v>
      </x:c>
      <x:c r="D153" s="7" t="n">
        <x:v>94.0520594612</x:v>
      </x:c>
      <x:c r="E153" s="7" t="str">
        <x:v>SYNTHETIC: seeded teaching dataset; not observed market data</x:v>
      </x:c>
      <x:c r="F153" s="7" t="n">
        <x:v>46266</x:v>
      </x:c>
    </x:row>
    <x:row r="154" ht="22" customHeight="1">
      <x:c r="A154" s="8" t="n">
        <x:v>45867</x:v>
      </x:c>
      <x:c r="B154" s="7" t="str">
        <x:v>CA_EQ</x:v>
      </x:c>
      <x:c r="C154" s="7" t="n">
        <x:v>93.6636165833</x:v>
      </x:c>
      <x:c r="D154" s="7" t="n">
        <x:v>93.6636165833</x:v>
      </x:c>
      <x:c r="E154" s="7" t="str">
        <x:v>SYNTHETIC: seeded teaching dataset; not observed market data</x:v>
      </x:c>
      <x:c r="F154" s="7" t="n">
        <x:v>46266</x:v>
      </x:c>
    </x:row>
    <x:row r="155" ht="22" customHeight="1">
      <x:c r="A155" s="8" t="n">
        <x:v>45868</x:v>
      </x:c>
      <x:c r="B155" s="7" t="str">
        <x:v>CA_EQ</x:v>
      </x:c>
      <x:c r="C155" s="7" t="n">
        <x:v>94.3884868539</x:v>
      </x:c>
      <x:c r="D155" s="7" t="n">
        <x:v>94.3884868539</x:v>
      </x:c>
      <x:c r="E155" s="7" t="str">
        <x:v>SYNTHETIC: seeded teaching dataset; not observed market data</x:v>
      </x:c>
      <x:c r="F155" s="7" t="n">
        <x:v>46266</x:v>
      </x:c>
    </x:row>
    <x:row r="156" ht="22" customHeight="1">
      <x:c r="A156" s="8" t="n">
        <x:v>45869</x:v>
      </x:c>
      <x:c r="B156" s="7" t="str">
        <x:v>CA_EQ</x:v>
      </x:c>
      <x:c r="C156" s="7" t="n">
        <x:v>94.4416512103</x:v>
      </x:c>
      <x:c r="D156" s="7" t="n">
        <x:v>94.4416512103</x:v>
      </x:c>
      <x:c r="E156" s="7" t="str">
        <x:v>SYNTHETIC: seeded teaching dataset; not observed market data</x:v>
      </x:c>
      <x:c r="F156" s="7" t="n">
        <x:v>46266</x:v>
      </x:c>
    </x:row>
    <x:row r="157" ht="22" customHeight="1">
      <x:c r="A157" s="8" t="n">
        <x:v>45870</x:v>
      </x:c>
      <x:c r="B157" s="7" t="str">
        <x:v>CA_EQ</x:v>
      </x:c>
      <x:c r="C157" s="7" t="n">
        <x:v>94.5670984248</x:v>
      </x:c>
      <x:c r="D157" s="7" t="n">
        <x:v>94.5670984248</x:v>
      </x:c>
      <x:c r="E157" s="7" t="str">
        <x:v>SYNTHETIC: seeded teaching dataset; not observed market data</x:v>
      </x:c>
      <x:c r="F157" s="7" t="n">
        <x:v>46266</x:v>
      </x:c>
    </x:row>
    <x:row r="158" ht="22" customHeight="1">
      <x:c r="A158" s="8" t="n">
        <x:v>45873</x:v>
      </x:c>
      <x:c r="B158" s="7" t="str">
        <x:v>CA_EQ</x:v>
      </x:c>
      <x:c r="C158" s="7" t="n">
        <x:v>94.0398217863</x:v>
      </x:c>
      <x:c r="D158" s="7" t="n">
        <x:v>94.0398217863</x:v>
      </x:c>
      <x:c r="E158" s="7" t="str">
        <x:v>SYNTHETIC: seeded teaching dataset; not observed market data</x:v>
      </x:c>
      <x:c r="F158" s="7" t="n">
        <x:v>46266</x:v>
      </x:c>
    </x:row>
    <x:row r="159" ht="22" customHeight="1">
      <x:c r="A159" s="8" t="n">
        <x:v>45874</x:v>
      </x:c>
      <x:c r="B159" s="7" t="str">
        <x:v>CA_EQ</x:v>
      </x:c>
      <x:c r="C159" s="7" t="n">
        <x:v>95.4183935072</x:v>
      </x:c>
      <x:c r="D159" s="7" t="n">
        <x:v>95.4183935072</x:v>
      </x:c>
      <x:c r="E159" s="7" t="str">
        <x:v>SYNTHETIC: seeded teaching dataset; not observed market data</x:v>
      </x:c>
      <x:c r="F159" s="7" t="n">
        <x:v>46266</x:v>
      </x:c>
    </x:row>
    <x:row r="160" ht="22" customHeight="1">
      <x:c r="A160" s="8" t="n">
        <x:v>45875</x:v>
      </x:c>
      <x:c r="B160" s="7" t="str">
        <x:v>CA_EQ</x:v>
      </x:c>
      <x:c r="C160" s="7" t="n">
        <x:v>95.9882207471</x:v>
      </x:c>
      <x:c r="D160" s="7" t="n">
        <x:v>95.9882207471</x:v>
      </x:c>
      <x:c r="E160" s="7" t="str">
        <x:v>SYNTHETIC: seeded teaching dataset; not observed market data</x:v>
      </x:c>
      <x:c r="F160" s="7" t="n">
        <x:v>46266</x:v>
      </x:c>
    </x:row>
    <x:row r="161" ht="22" customHeight="1">
      <x:c r="A161" s="8" t="n">
        <x:v>45876</x:v>
      </x:c>
      <x:c r="B161" s="7" t="str">
        <x:v>CA_EQ</x:v>
      </x:c>
      <x:c r="C161" s="7" t="n">
        <x:v>96.4162968218</x:v>
      </x:c>
      <x:c r="D161" s="7" t="n">
        <x:v>96.4162968218</x:v>
      </x:c>
      <x:c r="E161" s="7" t="str">
        <x:v>SYNTHETIC: seeded teaching dataset; not observed market data</x:v>
      </x:c>
      <x:c r="F161" s="7" t="n">
        <x:v>46266</x:v>
      </x:c>
    </x:row>
    <x:row r="162" ht="22" customHeight="1">
      <x:c r="A162" s="8" t="n">
        <x:v>45877</x:v>
      </x:c>
      <x:c r="B162" s="7" t="str">
        <x:v>CA_EQ</x:v>
      </x:c>
      <x:c r="C162" s="7" t="n">
        <x:v>96.9303677123</x:v>
      </x:c>
      <x:c r="D162" s="7" t="n">
        <x:v>96.9303677123</x:v>
      </x:c>
      <x:c r="E162" s="7" t="str">
        <x:v>SYNTHETIC: seeded teaching dataset; not observed market data</x:v>
      </x:c>
      <x:c r="F162" s="7" t="n">
        <x:v>46266</x:v>
      </x:c>
    </x:row>
    <x:row r="163" ht="22" customHeight="1">
      <x:c r="A163" s="8" t="n">
        <x:v>45880</x:v>
      </x:c>
      <x:c r="B163" s="7" t="str">
        <x:v>CA_EQ</x:v>
      </x:c>
      <x:c r="C163" s="7" t="n">
        <x:v>97.126514582</x:v>
      </x:c>
      <x:c r="D163" s="7" t="n">
        <x:v>97.126514582</x:v>
      </x:c>
      <x:c r="E163" s="7" t="str">
        <x:v>SYNTHETIC: seeded teaching dataset; not observed market data</x:v>
      </x:c>
      <x:c r="F163" s="7" t="n">
        <x:v>46266</x:v>
      </x:c>
    </x:row>
    <x:row r="164" ht="22" customHeight="1">
      <x:c r="A164" s="8" t="n">
        <x:v>45881</x:v>
      </x:c>
      <x:c r="B164" s="7" t="str">
        <x:v>CA_EQ</x:v>
      </x:c>
      <x:c r="C164" s="7" t="n">
        <x:v>96.8399974089</x:v>
      </x:c>
      <x:c r="D164" s="7" t="n">
        <x:v>96.8399974089</x:v>
      </x:c>
      <x:c r="E164" s="7" t="str">
        <x:v>SYNTHETIC: seeded teaching dataset; not observed market data</x:v>
      </x:c>
      <x:c r="F164" s="7" t="n">
        <x:v>46266</x:v>
      </x:c>
    </x:row>
    <x:row r="165" ht="22" customHeight="1">
      <x:c r="A165" s="8" t="n">
        <x:v>45882</x:v>
      </x:c>
      <x:c r="B165" s="7" t="str">
        <x:v>CA_EQ</x:v>
      </x:c>
      <x:c r="C165" s="7" t="n">
        <x:v>95.7110933156</x:v>
      </x:c>
      <x:c r="D165" s="7" t="n">
        <x:v>95.7110933156</x:v>
      </x:c>
      <x:c r="E165" s="7" t="str">
        <x:v>SYNTHETIC: seeded teaching dataset; not observed market data</x:v>
      </x:c>
      <x:c r="F165" s="7" t="n">
        <x:v>46266</x:v>
      </x:c>
    </x:row>
    <x:row r="166" ht="22" customHeight="1">
      <x:c r="A166" s="8" t="n">
        <x:v>45883</x:v>
      </x:c>
      <x:c r="B166" s="7" t="str">
        <x:v>CA_EQ</x:v>
      </x:c>
      <x:c r="C166" s="7" t="n">
        <x:v>96.0606107545</x:v>
      </x:c>
      <x:c r="D166" s="7" t="n">
        <x:v>96.0606107545</x:v>
      </x:c>
      <x:c r="E166" s="7" t="str">
        <x:v>SYNTHETIC: seeded teaching dataset; not observed market data</x:v>
      </x:c>
      <x:c r="F166" s="7" t="n">
        <x:v>46266</x:v>
      </x:c>
    </x:row>
    <x:row r="167" ht="22" customHeight="1">
      <x:c r="A167" s="8" t="n">
        <x:v>45884</x:v>
      </x:c>
      <x:c r="B167" s="7" t="str">
        <x:v>CA_EQ</x:v>
      </x:c>
      <x:c r="C167" s="7" t="n">
        <x:v>96.1080338305</x:v>
      </x:c>
      <x:c r="D167" s="7" t="n">
        <x:v>96.1080338305</x:v>
      </x:c>
      <x:c r="E167" s="7" t="str">
        <x:v>SYNTHETIC: seeded teaching dataset; not observed market data</x:v>
      </x:c>
      <x:c r="F167" s="7" t="n">
        <x:v>46266</x:v>
      </x:c>
    </x:row>
    <x:row r="168" ht="22" customHeight="1">
      <x:c r="A168" s="8" t="n">
        <x:v>45887</x:v>
      </x:c>
      <x:c r="B168" s="7" t="str">
        <x:v>CA_EQ</x:v>
      </x:c>
      <x:c r="C168" s="7" t="n">
        <x:v>97.1752359406</x:v>
      </x:c>
      <x:c r="D168" s="7" t="n">
        <x:v>97.1752359406</x:v>
      </x:c>
      <x:c r="E168" s="7" t="str">
        <x:v>SYNTHETIC: seeded teaching dataset; not observed market data</x:v>
      </x:c>
      <x:c r="F168" s="7" t="n">
        <x:v>46266</x:v>
      </x:c>
    </x:row>
    <x:row r="169" ht="22" customHeight="1">
      <x:c r="A169" s="8" t="n">
        <x:v>45888</x:v>
      </x:c>
      <x:c r="B169" s="7" t="str">
        <x:v>CA_EQ</x:v>
      </x:c>
      <x:c r="C169" s="7" t="n">
        <x:v>97.3185336312</x:v>
      </x:c>
      <x:c r="D169" s="7" t="n">
        <x:v>97.3185336312</x:v>
      </x:c>
      <x:c r="E169" s="7" t="str">
        <x:v>SYNTHETIC: seeded teaching dataset; not observed market data</x:v>
      </x:c>
      <x:c r="F169" s="7" t="n">
        <x:v>46266</x:v>
      </x:c>
    </x:row>
    <x:row r="170" ht="22" customHeight="1">
      <x:c r="A170" s="8" t="n">
        <x:v>45889</x:v>
      </x:c>
      <x:c r="B170" s="7" t="str">
        <x:v>CA_EQ</x:v>
      </x:c>
      <x:c r="C170" s="7" t="n">
        <x:v>97.5394339202</x:v>
      </x:c>
      <x:c r="D170" s="7" t="n">
        <x:v>97.5394339202</x:v>
      </x:c>
      <x:c r="E170" s="7" t="str">
        <x:v>SYNTHETIC: seeded teaching dataset; not observed market data</x:v>
      </x:c>
      <x:c r="F170" s="7" t="n">
        <x:v>46266</x:v>
      </x:c>
    </x:row>
    <x:row r="171" ht="22" customHeight="1">
      <x:c r="A171" s="8" t="n">
        <x:v>45890</x:v>
      </x:c>
      <x:c r="B171" s="7" t="str">
        <x:v>CA_EQ</x:v>
      </x:c>
      <x:c r="C171" s="7" t="n">
        <x:v>98.074419583</x:v>
      </x:c>
      <x:c r="D171" s="7" t="n">
        <x:v>98.074419583</x:v>
      </x:c>
      <x:c r="E171" s="7" t="str">
        <x:v>SYNTHETIC: seeded teaching dataset; not observed market data</x:v>
      </x:c>
      <x:c r="F171" s="7" t="n">
        <x:v>46266</x:v>
      </x:c>
    </x:row>
    <x:row r="172" ht="22" customHeight="1">
      <x:c r="A172" s="8" t="n">
        <x:v>45891</x:v>
      </x:c>
      <x:c r="B172" s="7" t="str">
        <x:v>CA_EQ</x:v>
      </x:c>
      <x:c r="C172" s="7" t="n">
        <x:v>99.0338122927</x:v>
      </x:c>
      <x:c r="D172" s="7" t="n">
        <x:v>99.0338122927</x:v>
      </x:c>
      <x:c r="E172" s="7" t="str">
        <x:v>SYNTHETIC: seeded teaching dataset; not observed market data</x:v>
      </x:c>
      <x:c r="F172" s="7" t="n">
        <x:v>46266</x:v>
      </x:c>
    </x:row>
    <x:row r="173" ht="22" customHeight="1">
      <x:c r="A173" s="8" t="n">
        <x:v>45894</x:v>
      </x:c>
      <x:c r="B173" s="7" t="str">
        <x:v>CA_EQ</x:v>
      </x:c>
      <x:c r="C173" s="7" t="n">
        <x:v>101.3357171561</x:v>
      </x:c>
      <x:c r="D173" s="7" t="n">
        <x:v>101.3357171561</x:v>
      </x:c>
      <x:c r="E173" s="7" t="str">
        <x:v>SYNTHETIC: seeded teaching dataset; not observed market data</x:v>
      </x:c>
      <x:c r="F173" s="7" t="n">
        <x:v>46266</x:v>
      </x:c>
    </x:row>
    <x:row r="174" ht="22" customHeight="1">
      <x:c r="A174" s="8" t="n">
        <x:v>45895</x:v>
      </x:c>
      <x:c r="B174" s="7" t="str">
        <x:v>CA_EQ</x:v>
      </x:c>
      <x:c r="C174" s="7" t="n">
        <x:v>102.3746794738</x:v>
      </x:c>
      <x:c r="D174" s="7" t="n">
        <x:v>102.3746794738</x:v>
      </x:c>
      <x:c r="E174" s="7" t="str">
        <x:v>SYNTHETIC: seeded teaching dataset; not observed market data</x:v>
      </x:c>
      <x:c r="F174" s="7" t="n">
        <x:v>46266</x:v>
      </x:c>
    </x:row>
    <x:row r="175" ht="22" customHeight="1">
      <x:c r="A175" s="8" t="n">
        <x:v>45896</x:v>
      </x:c>
      <x:c r="B175" s="7" t="str">
        <x:v>CA_EQ</x:v>
      </x:c>
      <x:c r="C175" s="7" t="n">
        <x:v>100.6647399749</x:v>
      </x:c>
      <x:c r="D175" s="7" t="n">
        <x:v>100.6647399749</x:v>
      </x:c>
      <x:c r="E175" s="7" t="str">
        <x:v>SYNTHETIC: seeded teaching dataset; not observed market data</x:v>
      </x:c>
      <x:c r="F175" s="7" t="n">
        <x:v>46266</x:v>
      </x:c>
    </x:row>
    <x:row r="176" ht="22" customHeight="1">
      <x:c r="A176" s="8" t="n">
        <x:v>45897</x:v>
      </x:c>
      <x:c r="B176" s="7" t="str">
        <x:v>CA_EQ</x:v>
      </x:c>
      <x:c r="C176" s="7" t="n">
        <x:v>100.8400018364</x:v>
      </x:c>
      <x:c r="D176" s="7" t="n">
        <x:v>100.8400018364</x:v>
      </x:c>
      <x:c r="E176" s="7" t="str">
        <x:v>SYNTHETIC: seeded teaching dataset; not observed market data</x:v>
      </x:c>
      <x:c r="F176" s="7" t="n">
        <x:v>46266</x:v>
      </x:c>
    </x:row>
    <x:row r="177" ht="22" customHeight="1">
      <x:c r="A177" s="8" t="n">
        <x:v>45898</x:v>
      </x:c>
      <x:c r="B177" s="7" t="str">
        <x:v>CA_EQ</x:v>
      </x:c>
      <x:c r="C177" s="7" t="n">
        <x:v>102.0596622809</x:v>
      </x:c>
      <x:c r="D177" s="7" t="n">
        <x:v>102.0596622809</x:v>
      </x:c>
      <x:c r="E177" s="7" t="str">
        <x:v>SYNTHETIC: seeded teaching dataset; not observed market data</x:v>
      </x:c>
      <x:c r="F177" s="7" t="n">
        <x:v>46266</x:v>
      </x:c>
    </x:row>
    <x:row r="178" ht="22" customHeight="1">
      <x:c r="A178" s="8" t="n">
        <x:v>45901</x:v>
      </x:c>
      <x:c r="B178" s="7" t="str">
        <x:v>CA_EQ</x:v>
      </x:c>
      <x:c r="C178" s="7" t="n">
        <x:v>101.4987332876</x:v>
      </x:c>
      <x:c r="D178" s="7" t="n">
        <x:v>101.4987332876</x:v>
      </x:c>
      <x:c r="E178" s="7" t="str">
        <x:v>SYNTHETIC: seeded teaching dataset; not observed market data</x:v>
      </x:c>
      <x:c r="F178" s="7" t="n">
        <x:v>46266</x:v>
      </x:c>
    </x:row>
    <x:row r="179" ht="22" customHeight="1">
      <x:c r="A179" s="8" t="n">
        <x:v>45902</x:v>
      </x:c>
      <x:c r="B179" s="7" t="str">
        <x:v>CA_EQ</x:v>
      </x:c>
      <x:c r="C179" s="7" t="n">
        <x:v>101.6325949906</x:v>
      </x:c>
      <x:c r="D179" s="7" t="n">
        <x:v>101.6325949906</x:v>
      </x:c>
      <x:c r="E179" s="7" t="str">
        <x:v>SYNTHETIC: seeded teaching dataset; not observed market data</x:v>
      </x:c>
      <x:c r="F179" s="7" t="n">
        <x:v>46266</x:v>
      </x:c>
    </x:row>
    <x:row r="180" ht="22" customHeight="1">
      <x:c r="A180" s="8" t="n">
        <x:v>45903</x:v>
      </x:c>
      <x:c r="B180" s="7" t="str">
        <x:v>CA_EQ</x:v>
      </x:c>
      <x:c r="C180" s="7" t="n">
        <x:v>100.4564294983</x:v>
      </x:c>
      <x:c r="D180" s="7" t="n">
        <x:v>100.4564294983</x:v>
      </x:c>
      <x:c r="E180" s="7" t="str">
        <x:v>SYNTHETIC: seeded teaching dataset; not observed market data</x:v>
      </x:c>
      <x:c r="F180" s="7" t="n">
        <x:v>46266</x:v>
      </x:c>
    </x:row>
    <x:row r="181" ht="22" customHeight="1">
      <x:c r="A181" s="8" t="n">
        <x:v>45904</x:v>
      </x:c>
      <x:c r="B181" s="7" t="str">
        <x:v>CA_EQ</x:v>
      </x:c>
      <x:c r="C181" s="7" t="n">
        <x:v>100.8060187113</x:v>
      </x:c>
      <x:c r="D181" s="7" t="n">
        <x:v>100.8060187113</x:v>
      </x:c>
      <x:c r="E181" s="7" t="str">
        <x:v>SYNTHETIC: seeded teaching dataset; not observed market data</x:v>
      </x:c>
      <x:c r="F181" s="7" t="n">
        <x:v>46266</x:v>
      </x:c>
    </x:row>
    <x:row r="182" ht="22" customHeight="1">
      <x:c r="A182" s="8" t="n">
        <x:v>45905</x:v>
      </x:c>
      <x:c r="B182" s="7" t="str">
        <x:v>CA_EQ</x:v>
      </x:c>
      <x:c r="C182" s="7" t="n">
        <x:v>99.1306753291</x:v>
      </x:c>
      <x:c r="D182" s="7" t="n">
        <x:v>99.1306753291</x:v>
      </x:c>
      <x:c r="E182" s="7" t="str">
        <x:v>SYNTHETIC: seeded teaching dataset; not observed market data</x:v>
      </x:c>
      <x:c r="F182" s="7" t="n">
        <x:v>46266</x:v>
      </x:c>
    </x:row>
    <x:row r="183" ht="22" customHeight="1">
      <x:c r="A183" s="8" t="n">
        <x:v>45908</x:v>
      </x:c>
      <x:c r="B183" s="7" t="str">
        <x:v>CA_EQ</x:v>
      </x:c>
      <x:c r="C183" s="7" t="n">
        <x:v>99.6796528292</x:v>
      </x:c>
      <x:c r="D183" s="7" t="n">
        <x:v>99.6796528292</x:v>
      </x:c>
      <x:c r="E183" s="7" t="str">
        <x:v>SYNTHETIC: seeded teaching dataset; not observed market data</x:v>
      </x:c>
      <x:c r="F183" s="7" t="n">
        <x:v>46266</x:v>
      </x:c>
    </x:row>
    <x:row r="184" ht="22" customHeight="1">
      <x:c r="A184" s="8" t="n">
        <x:v>45909</x:v>
      </x:c>
      <x:c r="B184" s="7" t="str">
        <x:v>CA_EQ</x:v>
      </x:c>
      <x:c r="C184" s="7" t="n">
        <x:v>97.4374767702</x:v>
      </x:c>
      <x:c r="D184" s="7" t="n">
        <x:v>97.4374767702</x:v>
      </x:c>
      <x:c r="E184" s="7" t="str">
        <x:v>SYNTHETIC: seeded teaching dataset; not observed market data</x:v>
      </x:c>
      <x:c r="F184" s="7" t="n">
        <x:v>46266</x:v>
      </x:c>
    </x:row>
    <x:row r="185" ht="22" customHeight="1">
      <x:c r="A185" s="8" t="n">
        <x:v>45910</x:v>
      </x:c>
      <x:c r="B185" s="7" t="str">
        <x:v>CA_EQ</x:v>
      </x:c>
      <x:c r="C185" s="7" t="n">
        <x:v>97.5161885472</x:v>
      </x:c>
      <x:c r="D185" s="7" t="n">
        <x:v>97.5161885472</x:v>
      </x:c>
      <x:c r="E185" s="7" t="str">
        <x:v>SYNTHETIC: seeded teaching dataset; not observed market data</x:v>
      </x:c>
      <x:c r="F185" s="7" t="n">
        <x:v>46266</x:v>
      </x:c>
    </x:row>
    <x:row r="186" ht="22" customHeight="1">
      <x:c r="A186" s="8" t="n">
        <x:v>45911</x:v>
      </x:c>
      <x:c r="B186" s="7" t="str">
        <x:v>CA_EQ</x:v>
      </x:c>
      <x:c r="C186" s="7" t="n">
        <x:v>99.5022432658</x:v>
      </x:c>
      <x:c r="D186" s="7" t="n">
        <x:v>99.5022432658</x:v>
      </x:c>
      <x:c r="E186" s="7" t="str">
        <x:v>SYNTHETIC: seeded teaching dataset; not observed market data</x:v>
      </x:c>
      <x:c r="F186" s="7" t="n">
        <x:v>46266</x:v>
      </x:c>
    </x:row>
    <x:row r="187" ht="22" customHeight="1">
      <x:c r="A187" s="8" t="n">
        <x:v>45912</x:v>
      </x:c>
      <x:c r="B187" s="7" t="str">
        <x:v>CA_EQ</x:v>
      </x:c>
      <x:c r="C187" s="7" t="n">
        <x:v>98.5154048195</x:v>
      </x:c>
      <x:c r="D187" s="7" t="n">
        <x:v>98.5154048195</x:v>
      </x:c>
      <x:c r="E187" s="7" t="str">
        <x:v>SYNTHETIC: seeded teaching dataset; not observed market data</x:v>
      </x:c>
      <x:c r="F187" s="7" t="n">
        <x:v>46266</x:v>
      </x:c>
    </x:row>
    <x:row r="188" ht="22" customHeight="1">
      <x:c r="A188" s="8" t="n">
        <x:v>45915</x:v>
      </x:c>
      <x:c r="B188" s="7" t="str">
        <x:v>CA_EQ</x:v>
      </x:c>
      <x:c r="C188" s="7" t="n">
        <x:v>98.605593048</x:v>
      </x:c>
      <x:c r="D188" s="7" t="n">
        <x:v>98.605593048</x:v>
      </x:c>
      <x:c r="E188" s="7" t="str">
        <x:v>SYNTHETIC: seeded teaching dataset; not observed market data</x:v>
      </x:c>
      <x:c r="F188" s="7" t="n">
        <x:v>46266</x:v>
      </x:c>
    </x:row>
    <x:row r="189" ht="22" customHeight="1">
      <x:c r="A189" s="8" t="n">
        <x:v>45916</x:v>
      </x:c>
      <x:c r="B189" s="7" t="str">
        <x:v>CA_EQ</x:v>
      </x:c>
      <x:c r="C189" s="7" t="n">
        <x:v>97.1726538637</x:v>
      </x:c>
      <x:c r="D189" s="7" t="n">
        <x:v>97.1726538637</x:v>
      </x:c>
      <x:c r="E189" s="7" t="str">
        <x:v>SYNTHETIC: seeded teaching dataset; not observed market data</x:v>
      </x:c>
      <x:c r="F189" s="7" t="n">
        <x:v>46266</x:v>
      </x:c>
    </x:row>
    <x:row r="190" ht="22" customHeight="1">
      <x:c r="A190" s="8" t="n">
        <x:v>45917</x:v>
      </x:c>
      <x:c r="B190" s="7" t="str">
        <x:v>CA_EQ</x:v>
      </x:c>
      <x:c r="C190" s="7" t="n">
        <x:v>98.4777674285</x:v>
      </x:c>
      <x:c r="D190" s="7" t="n">
        <x:v>98.4777674285</x:v>
      </x:c>
      <x:c r="E190" s="7" t="str">
        <x:v>SYNTHETIC: seeded teaching dataset; not observed market data</x:v>
      </x:c>
      <x:c r="F190" s="7" t="n">
        <x:v>46266</x:v>
      </x:c>
    </x:row>
    <x:row r="191" ht="22" customHeight="1">
      <x:c r="A191" s="8" t="n">
        <x:v>45918</x:v>
      </x:c>
      <x:c r="B191" s="7" t="str">
        <x:v>CA_EQ</x:v>
      </x:c>
      <x:c r="C191" s="7" t="n">
        <x:v>97.7250061574</x:v>
      </x:c>
      <x:c r="D191" s="7" t="n">
        <x:v>97.7250061574</x:v>
      </x:c>
      <x:c r="E191" s="7" t="str">
        <x:v>SYNTHETIC: seeded teaching dataset; not observed market data</x:v>
      </x:c>
      <x:c r="F191" s="7" t="n">
        <x:v>46266</x:v>
      </x:c>
    </x:row>
    <x:row r="192" ht="22" customHeight="1">
      <x:c r="A192" s="8" t="n">
        <x:v>45919</x:v>
      </x:c>
      <x:c r="B192" s="7" t="str">
        <x:v>CA_EQ</x:v>
      </x:c>
      <x:c r="C192" s="7" t="n">
        <x:v>97.9103779252</x:v>
      </x:c>
      <x:c r="D192" s="7" t="n">
        <x:v>97.9103779252</x:v>
      </x:c>
      <x:c r="E192" s="7" t="str">
        <x:v>SYNTHETIC: seeded teaching dataset; not observed market data</x:v>
      </x:c>
      <x:c r="F192" s="7" t="n">
        <x:v>46266</x:v>
      </x:c>
    </x:row>
    <x:row r="193" ht="22" customHeight="1">
      <x:c r="A193" s="8" t="n">
        <x:v>45922</x:v>
      </x:c>
      <x:c r="B193" s="7" t="str">
        <x:v>CA_EQ</x:v>
      </x:c>
      <x:c r="C193" s="7" t="n">
        <x:v>96.435021032</x:v>
      </x:c>
      <x:c r="D193" s="7" t="n">
        <x:v>96.435021032</x:v>
      </x:c>
      <x:c r="E193" s="7" t="str">
        <x:v>SYNTHETIC: seeded teaching dataset; not observed market data</x:v>
      </x:c>
      <x:c r="F193" s="7" t="n">
        <x:v>46266</x:v>
      </x:c>
    </x:row>
    <x:row r="194" ht="22" customHeight="1">
      <x:c r="A194" s="8" t="n">
        <x:v>45923</x:v>
      </x:c>
      <x:c r="B194" s="7" t="str">
        <x:v>CA_EQ</x:v>
      </x:c>
      <x:c r="C194" s="7" t="n">
        <x:v>96.3044294605</x:v>
      </x:c>
      <x:c r="D194" s="7" t="n">
        <x:v>96.3044294605</x:v>
      </x:c>
      <x:c r="E194" s="7" t="str">
        <x:v>SYNTHETIC: seeded teaching dataset; not observed market data</x:v>
      </x:c>
      <x:c r="F194" s="7" t="n">
        <x:v>46266</x:v>
      </x:c>
    </x:row>
    <x:row r="195" ht="22" customHeight="1">
      <x:c r="A195" s="8" t="n">
        <x:v>45924</x:v>
      </x:c>
      <x:c r="B195" s="7" t="str">
        <x:v>CA_EQ</x:v>
      </x:c>
      <x:c r="C195" s="7" t="n">
        <x:v>96.6937314726</x:v>
      </x:c>
      <x:c r="D195" s="7" t="n">
        <x:v>96.6937314726</x:v>
      </x:c>
      <x:c r="E195" s="7" t="str">
        <x:v>SYNTHETIC: seeded teaching dataset; not observed market data</x:v>
      </x:c>
      <x:c r="F195" s="7" t="n">
        <x:v>46266</x:v>
      </x:c>
    </x:row>
    <x:row r="196" ht="22" customHeight="1">
      <x:c r="A196" s="8" t="n">
        <x:v>45925</x:v>
      </x:c>
      <x:c r="B196" s="7" t="str">
        <x:v>CA_EQ</x:v>
      </x:c>
      <x:c r="C196" s="7" t="n">
        <x:v>97.3585593113</x:v>
      </x:c>
      <x:c r="D196" s="7" t="n">
        <x:v>97.3585593113</x:v>
      </x:c>
      <x:c r="E196" s="7" t="str">
        <x:v>SYNTHETIC: seeded teaching dataset; not observed market data</x:v>
      </x:c>
      <x:c r="F196" s="7" t="n">
        <x:v>46266</x:v>
      </x:c>
    </x:row>
    <x:row r="197" ht="22" customHeight="1">
      <x:c r="A197" s="8" t="n">
        <x:v>45926</x:v>
      </x:c>
      <x:c r="B197" s="7" t="str">
        <x:v>CA_EQ</x:v>
      </x:c>
      <x:c r="C197" s="7" t="n">
        <x:v>97.6008220324</x:v>
      </x:c>
      <x:c r="D197" s="7" t="n">
        <x:v>97.6008220324</x:v>
      </x:c>
      <x:c r="E197" s="7" t="str">
        <x:v>SYNTHETIC: seeded teaching dataset; not observed market data</x:v>
      </x:c>
      <x:c r="F197" s="7" t="n">
        <x:v>46266</x:v>
      </x:c>
    </x:row>
    <x:row r="198" ht="22" customHeight="1">
      <x:c r="A198" s="8" t="n">
        <x:v>45929</x:v>
      </x:c>
      <x:c r="B198" s="7" t="str">
        <x:v>CA_EQ</x:v>
      </x:c>
      <x:c r="C198" s="7" t="n">
        <x:v>96.419801619</x:v>
      </x:c>
      <x:c r="D198" s="7" t="n">
        <x:v>96.419801619</x:v>
      </x:c>
      <x:c r="E198" s="7" t="str">
        <x:v>SYNTHETIC: seeded teaching dataset; not observed market data</x:v>
      </x:c>
      <x:c r="F198" s="7" t="n">
        <x:v>46266</x:v>
      </x:c>
    </x:row>
    <x:row r="199" ht="22" customHeight="1">
      <x:c r="A199" s="8" t="n">
        <x:v>45930</x:v>
      </x:c>
      <x:c r="B199" s="7" t="str">
        <x:v>CA_EQ</x:v>
      </x:c>
      <x:c r="C199" s="7" t="n">
        <x:v>96.5663077907</x:v>
      </x:c>
      <x:c r="D199" s="7" t="n">
        <x:v>96.5663077907</x:v>
      </x:c>
      <x:c r="E199" s="7" t="str">
        <x:v>SYNTHETIC: seeded teaching dataset; not observed market data</x:v>
      </x:c>
      <x:c r="F199" s="7" t="n">
        <x:v>46266</x:v>
      </x:c>
    </x:row>
    <x:row r="200" ht="22" customHeight="1">
      <x:c r="A200" s="8" t="n">
        <x:v>45931</x:v>
      </x:c>
      <x:c r="B200" s="7" t="str">
        <x:v>CA_EQ</x:v>
      </x:c>
      <x:c r="C200" s="7" t="n">
        <x:v>95.0664863411</x:v>
      </x:c>
      <x:c r="D200" s="7" t="n">
        <x:v>95.0664863411</x:v>
      </x:c>
      <x:c r="E200" s="7" t="str">
        <x:v>SYNTHETIC: seeded teaching dataset; not observed market data</x:v>
      </x:c>
      <x:c r="F200" s="7" t="n">
        <x:v>46266</x:v>
      </x:c>
    </x:row>
    <x:row r="201" ht="22" customHeight="1">
      <x:c r="A201" s="8" t="n">
        <x:v>45932</x:v>
      </x:c>
      <x:c r="B201" s="7" t="str">
        <x:v>CA_EQ</x:v>
      </x:c>
      <x:c r="C201" s="7" t="n">
        <x:v>95.9274390211</x:v>
      </x:c>
      <x:c r="D201" s="7" t="n">
        <x:v>95.9274390211</x:v>
      </x:c>
      <x:c r="E201" s="7" t="str">
        <x:v>SYNTHETIC: seeded teaching dataset; not observed market data</x:v>
      </x:c>
      <x:c r="F201" s="7" t="n">
        <x:v>46266</x:v>
      </x:c>
    </x:row>
    <x:row r="202" ht="22" customHeight="1">
      <x:c r="A202" s="8" t="n">
        <x:v>45933</x:v>
      </x:c>
      <x:c r="B202" s="7" t="str">
        <x:v>CA_EQ</x:v>
      </x:c>
      <x:c r="C202" s="7" t="n">
        <x:v>94.4265236738</x:v>
      </x:c>
      <x:c r="D202" s="7" t="n">
        <x:v>94.4265236738</x:v>
      </x:c>
      <x:c r="E202" s="7" t="str">
        <x:v>SYNTHETIC: seeded teaching dataset; not observed market data</x:v>
      </x:c>
      <x:c r="F202" s="7" t="n">
        <x:v>46266</x:v>
      </x:c>
    </x:row>
    <x:row r="203" ht="22" customHeight="1">
      <x:c r="A203" s="8" t="n">
        <x:v>45936</x:v>
      </x:c>
      <x:c r="B203" s="7" t="str">
        <x:v>CA_EQ</x:v>
      </x:c>
      <x:c r="C203" s="7" t="n">
        <x:v>93.3576383806</x:v>
      </x:c>
      <x:c r="D203" s="7" t="n">
        <x:v>93.3576383806</x:v>
      </x:c>
      <x:c r="E203" s="7" t="str">
        <x:v>SYNTHETIC: seeded teaching dataset; not observed market data</x:v>
      </x:c>
      <x:c r="F203" s="7" t="n">
        <x:v>46266</x:v>
      </x:c>
    </x:row>
    <x:row r="204" ht="22" customHeight="1">
      <x:c r="A204" s="8" t="n">
        <x:v>45937</x:v>
      </x:c>
      <x:c r="B204" s="7" t="str">
        <x:v>CA_EQ</x:v>
      </x:c>
      <x:c r="C204" s="7" t="n">
        <x:v>92.1157366304</x:v>
      </x:c>
      <x:c r="D204" s="7" t="n">
        <x:v>92.1157366304</x:v>
      </x:c>
      <x:c r="E204" s="7" t="str">
        <x:v>SYNTHETIC: seeded teaching dataset; not observed market data</x:v>
      </x:c>
      <x:c r="F204" s="7" t="n">
        <x:v>46266</x:v>
      </x:c>
    </x:row>
    <x:row r="205" ht="22" customHeight="1">
      <x:c r="A205" s="8" t="n">
        <x:v>45938</x:v>
      </x:c>
      <x:c r="B205" s="7" t="str">
        <x:v>CA_EQ</x:v>
      </x:c>
      <x:c r="C205" s="7" t="n">
        <x:v>91.6766595627</x:v>
      </x:c>
      <x:c r="D205" s="7" t="n">
        <x:v>91.6766595627</x:v>
      </x:c>
      <x:c r="E205" s="7" t="str">
        <x:v>SYNTHETIC: seeded teaching dataset; not observed market data</x:v>
      </x:c>
      <x:c r="F205" s="7" t="n">
        <x:v>46266</x:v>
      </x:c>
    </x:row>
    <x:row r="206" ht="22" customHeight="1">
      <x:c r="A206" s="8" t="n">
        <x:v>45939</x:v>
      </x:c>
      <x:c r="B206" s="7" t="str">
        <x:v>CA_EQ</x:v>
      </x:c>
      <x:c r="C206" s="7" t="n">
        <x:v>91.2174365093</x:v>
      </x:c>
      <x:c r="D206" s="7" t="n">
        <x:v>91.2174365093</x:v>
      </x:c>
      <x:c r="E206" s="7" t="str">
        <x:v>SYNTHETIC: seeded teaching dataset; not observed market data</x:v>
      </x:c>
      <x:c r="F206" s="7" t="n">
        <x:v>46266</x:v>
      </x:c>
    </x:row>
    <x:row r="207" ht="22" customHeight="1">
      <x:c r="A207" s="8" t="n">
        <x:v>45940</x:v>
      </x:c>
      <x:c r="B207" s="7" t="str">
        <x:v>CA_EQ</x:v>
      </x:c>
      <x:c r="C207" s="7" t="n">
        <x:v>90.2465707788</x:v>
      </x:c>
      <x:c r="D207" s="7" t="n">
        <x:v>90.2465707788</x:v>
      </x:c>
      <x:c r="E207" s="7" t="str">
        <x:v>SYNTHETIC: seeded teaching dataset; not observed market data</x:v>
      </x:c>
      <x:c r="F207" s="7" t="n">
        <x:v>46266</x:v>
      </x:c>
    </x:row>
    <x:row r="208" ht="22" customHeight="1">
      <x:c r="A208" s="8" t="n">
        <x:v>45943</x:v>
      </x:c>
      <x:c r="B208" s="7" t="str">
        <x:v>CA_EQ</x:v>
      </x:c>
      <x:c r="C208" s="7" t="n">
        <x:v>91.1852277403</x:v>
      </x:c>
      <x:c r="D208" s="7" t="n">
        <x:v>91.1852277403</x:v>
      </x:c>
      <x:c r="E208" s="7" t="str">
        <x:v>SYNTHETIC: seeded teaching dataset; not observed market data</x:v>
      </x:c>
      <x:c r="F208" s="7" t="n">
        <x:v>46266</x:v>
      </x:c>
    </x:row>
    <x:row r="209" ht="22" customHeight="1">
      <x:c r="A209" s="8" t="n">
        <x:v>45944</x:v>
      </x:c>
      <x:c r="B209" s="7" t="str">
        <x:v>CA_EQ</x:v>
      </x:c>
      <x:c r="C209" s="7" t="n">
        <x:v>91.0068582339</x:v>
      </x:c>
      <x:c r="D209" s="7" t="n">
        <x:v>91.0068582339</x:v>
      </x:c>
      <x:c r="E209" s="7" t="str">
        <x:v>SYNTHETIC: seeded teaching dataset; not observed market data</x:v>
      </x:c>
      <x:c r="F209" s="7" t="n">
        <x:v>46266</x:v>
      </x:c>
    </x:row>
    <x:row r="210" ht="22" customHeight="1">
      <x:c r="A210" s="8" t="n">
        <x:v>45945</x:v>
      </x:c>
      <x:c r="B210" s="7" t="str">
        <x:v>CA_EQ</x:v>
      </x:c>
      <x:c r="C210" s="7" t="n">
        <x:v>91.3216562164</x:v>
      </x:c>
      <x:c r="D210" s="7" t="n">
        <x:v>91.3216562164</x:v>
      </x:c>
      <x:c r="E210" s="7" t="str">
        <x:v>SYNTHETIC: seeded teaching dataset; not observed market data</x:v>
      </x:c>
      <x:c r="F210" s="7" t="n">
        <x:v>46266</x:v>
      </x:c>
    </x:row>
    <x:row r="211" ht="22" customHeight="1">
      <x:c r="A211" s="8" t="n">
        <x:v>45946</x:v>
      </x:c>
      <x:c r="B211" s="7" t="str">
        <x:v>CA_EQ</x:v>
      </x:c>
      <x:c r="C211" s="7" t="n">
        <x:v>90.5417963253</x:v>
      </x:c>
      <x:c r="D211" s="7" t="n">
        <x:v>90.5417963253</x:v>
      </x:c>
      <x:c r="E211" s="7" t="str">
        <x:v>SYNTHETIC: seeded teaching dataset; not observed market data</x:v>
      </x:c>
      <x:c r="F211" s="7" t="n">
        <x:v>46266</x:v>
      </x:c>
    </x:row>
    <x:row r="212" ht="22" customHeight="1">
      <x:c r="A212" s="8" t="n">
        <x:v>45947</x:v>
      </x:c>
      <x:c r="B212" s="7" t="str">
        <x:v>CA_EQ</x:v>
      </x:c>
      <x:c r="C212" s="7" t="n">
        <x:v>91.1183318405</x:v>
      </x:c>
      <x:c r="D212" s="7" t="n">
        <x:v>91.1183318405</x:v>
      </x:c>
      <x:c r="E212" s="7" t="str">
        <x:v>SYNTHETIC: seeded teaching dataset; not observed market data</x:v>
      </x:c>
      <x:c r="F212" s="7" t="n">
        <x:v>46266</x:v>
      </x:c>
    </x:row>
    <x:row r="213" ht="22" customHeight="1">
      <x:c r="A213" s="8" t="n">
        <x:v>45950</x:v>
      </x:c>
      <x:c r="B213" s="7" t="str">
        <x:v>CA_EQ</x:v>
      </x:c>
      <x:c r="C213" s="7" t="n">
        <x:v>90.318132393</x:v>
      </x:c>
      <x:c r="D213" s="7" t="n">
        <x:v>90.318132393</x:v>
      </x:c>
      <x:c r="E213" s="7" t="str">
        <x:v>SYNTHETIC: seeded teaching dataset; not observed market data</x:v>
      </x:c>
      <x:c r="F213" s="7" t="n">
        <x:v>46266</x:v>
      </x:c>
    </x:row>
    <x:row r="214" ht="22" customHeight="1">
      <x:c r="A214" s="8" t="n">
        <x:v>45951</x:v>
      </x:c>
      <x:c r="B214" s="7" t="str">
        <x:v>CA_EQ</x:v>
      </x:c>
      <x:c r="C214" s="7" t="n">
        <x:v>90.5556125129</x:v>
      </x:c>
      <x:c r="D214" s="7" t="n">
        <x:v>90.5556125129</x:v>
      </x:c>
      <x:c r="E214" s="7" t="str">
        <x:v>SYNTHETIC: seeded teaching dataset; not observed market data</x:v>
      </x:c>
      <x:c r="F214" s="7" t="n">
        <x:v>46266</x:v>
      </x:c>
    </x:row>
    <x:row r="215" ht="22" customHeight="1">
      <x:c r="A215" s="8" t="n">
        <x:v>45952</x:v>
      </x:c>
      <x:c r="B215" s="7" t="str">
        <x:v>CA_EQ</x:v>
      </x:c>
      <x:c r="C215" s="7" t="n">
        <x:v>91.9249556224</x:v>
      </x:c>
      <x:c r="D215" s="7" t="n">
        <x:v>91.9249556224</x:v>
      </x:c>
      <x:c r="E215" s="7" t="str">
        <x:v>SYNTHETIC: seeded teaching dataset; not observed market data</x:v>
      </x:c>
      <x:c r="F215" s="7" t="n">
        <x:v>46266</x:v>
      </x:c>
    </x:row>
    <x:row r="216" ht="22" customHeight="1">
      <x:c r="A216" s="8" t="n">
        <x:v>45953</x:v>
      </x:c>
      <x:c r="B216" s="7" t="str">
        <x:v>CA_EQ</x:v>
      </x:c>
      <x:c r="C216" s="7" t="n">
        <x:v>91.09088769</x:v>
      </x:c>
      <x:c r="D216" s="7" t="n">
        <x:v>91.09088769</x:v>
      </x:c>
      <x:c r="E216" s="7" t="str">
        <x:v>SYNTHETIC: seeded teaching dataset; not observed market data</x:v>
      </x:c>
      <x:c r="F216" s="7" t="n">
        <x:v>46266</x:v>
      </x:c>
    </x:row>
    <x:row r="217" ht="22" customHeight="1">
      <x:c r="A217" s="8" t="n">
        <x:v>45954</x:v>
      </x:c>
      <x:c r="B217" s="7" t="str">
        <x:v>CA_EQ</x:v>
      </x:c>
      <x:c r="C217" s="7" t="n">
        <x:v>89.7817642343</x:v>
      </x:c>
      <x:c r="D217" s="7" t="n">
        <x:v>89.7817642343</x:v>
      </x:c>
      <x:c r="E217" s="7" t="str">
        <x:v>SYNTHETIC: seeded teaching dataset; not observed market data</x:v>
      </x:c>
      <x:c r="F217" s="7" t="n">
        <x:v>46266</x:v>
      </x:c>
    </x:row>
    <x:row r="218" ht="22" customHeight="1">
      <x:c r="A218" s="8" t="n">
        <x:v>45957</x:v>
      </x:c>
      <x:c r="B218" s="7" t="str">
        <x:v>CA_EQ</x:v>
      </x:c>
      <x:c r="C218" s="7" t="n">
        <x:v>91.9735810117</x:v>
      </x:c>
      <x:c r="D218" s="7" t="n">
        <x:v>91.9735810117</x:v>
      </x:c>
      <x:c r="E218" s="7" t="str">
        <x:v>SYNTHETIC: seeded teaching dataset; not observed market data</x:v>
      </x:c>
      <x:c r="F218" s="7" t="n">
        <x:v>46266</x:v>
      </x:c>
    </x:row>
    <x:row r="219" ht="22" customHeight="1">
      <x:c r="A219" s="8" t="n">
        <x:v>45958</x:v>
      </x:c>
      <x:c r="B219" s="7" t="str">
        <x:v>CA_EQ</x:v>
      </x:c>
      <x:c r="C219" s="7" t="n">
        <x:v>92.0992044318</x:v>
      </x:c>
      <x:c r="D219" s="7" t="n">
        <x:v>92.0992044318</x:v>
      </x:c>
      <x:c r="E219" s="7" t="str">
        <x:v>SYNTHETIC: seeded teaching dataset; not observed market data</x:v>
      </x:c>
      <x:c r="F219" s="7" t="n">
        <x:v>46266</x:v>
      </x:c>
    </x:row>
    <x:row r="220" ht="22" customHeight="1">
      <x:c r="A220" s="8" t="n">
        <x:v>45959</x:v>
      </x:c>
      <x:c r="B220" s="7" t="str">
        <x:v>CA_EQ</x:v>
      </x:c>
      <x:c r="C220" s="7" t="n">
        <x:v>91.5052297194</x:v>
      </x:c>
      <x:c r="D220" s="7" t="n">
        <x:v>91.5052297194</x:v>
      </x:c>
      <x:c r="E220" s="7" t="str">
        <x:v>SYNTHETIC: seeded teaching dataset; not observed market data</x:v>
      </x:c>
      <x:c r="F220" s="7" t="n">
        <x:v>46266</x:v>
      </x:c>
    </x:row>
    <x:row r="221" ht="22" customHeight="1">
      <x:c r="A221" s="8" t="n">
        <x:v>45960</x:v>
      </x:c>
      <x:c r="B221" s="7" t="str">
        <x:v>CA_EQ</x:v>
      </x:c>
      <x:c r="C221" s="7" t="n">
        <x:v>91.6423892427</x:v>
      </x:c>
      <x:c r="D221" s="7" t="n">
        <x:v>91.6423892427</x:v>
      </x:c>
      <x:c r="E221" s="7" t="str">
        <x:v>SYNTHETIC: seeded teaching dataset; not observed market data</x:v>
      </x:c>
      <x:c r="F221" s="7" t="n">
        <x:v>46266</x:v>
      </x:c>
    </x:row>
    <x:row r="222" ht="22" customHeight="1">
      <x:c r="A222" s="8" t="n">
        <x:v>45961</x:v>
      </x:c>
      <x:c r="B222" s="7" t="str">
        <x:v>CA_EQ</x:v>
      </x:c>
      <x:c r="C222" s="7" t="n">
        <x:v>91.8283344125</x:v>
      </x:c>
      <x:c r="D222" s="7" t="n">
        <x:v>91.8283344125</x:v>
      </x:c>
      <x:c r="E222" s="7" t="str">
        <x:v>SYNTHETIC: seeded teaching dataset; not observed market data</x:v>
      </x:c>
      <x:c r="F222" s="7" t="n">
        <x:v>46266</x:v>
      </x:c>
    </x:row>
    <x:row r="223" ht="22" customHeight="1">
      <x:c r="A223" s="8" t="n">
        <x:v>45964</x:v>
      </x:c>
      <x:c r="B223" s="7" t="str">
        <x:v>CA_EQ</x:v>
      </x:c>
      <x:c r="C223" s="7" t="n">
        <x:v>92.2310462396</x:v>
      </x:c>
      <x:c r="D223" s="7" t="n">
        <x:v>92.2310462396</x:v>
      </x:c>
      <x:c r="E223" s="7" t="str">
        <x:v>SYNTHETIC: seeded teaching dataset; not observed market data</x:v>
      </x:c>
      <x:c r="F223" s="7" t="n">
        <x:v>46266</x:v>
      </x:c>
    </x:row>
    <x:row r="224" ht="22" customHeight="1">
      <x:c r="A224" s="8" t="n">
        <x:v>45965</x:v>
      </x:c>
      <x:c r="B224" s="7" t="str">
        <x:v>CA_EQ</x:v>
      </x:c>
      <x:c r="C224" s="7" t="n">
        <x:v>92.1045867025</x:v>
      </x:c>
      <x:c r="D224" s="7" t="n">
        <x:v>92.1045867025</x:v>
      </x:c>
      <x:c r="E224" s="7" t="str">
        <x:v>SYNTHETIC: seeded teaching dataset; not observed market data</x:v>
      </x:c>
      <x:c r="F224" s="7" t="n">
        <x:v>46266</x:v>
      </x:c>
    </x:row>
    <x:row r="225" ht="22" customHeight="1">
      <x:c r="A225" s="8" t="n">
        <x:v>45966</x:v>
      </x:c>
      <x:c r="B225" s="7" t="str">
        <x:v>CA_EQ</x:v>
      </x:c>
      <x:c r="C225" s="7" t="n">
        <x:v>92.1862218444</x:v>
      </x:c>
      <x:c r="D225" s="7" t="n">
        <x:v>92.1862218444</x:v>
      </x:c>
      <x:c r="E225" s="7" t="str">
        <x:v>SYNTHETIC: seeded teaching dataset; not observed market data</x:v>
      </x:c>
      <x:c r="F225" s="7" t="n">
        <x:v>46266</x:v>
      </x:c>
    </x:row>
    <x:row r="226" ht="22" customHeight="1">
      <x:c r="A226" s="8" t="n">
        <x:v>45967</x:v>
      </x:c>
      <x:c r="B226" s="7" t="str">
        <x:v>CA_EQ</x:v>
      </x:c>
      <x:c r="C226" s="7" t="n">
        <x:v>93.0147623098</x:v>
      </x:c>
      <x:c r="D226" s="7" t="n">
        <x:v>93.0147623098</x:v>
      </x:c>
      <x:c r="E226" s="7" t="str">
        <x:v>SYNTHETIC: seeded teaching dataset; not observed market data</x:v>
      </x:c>
      <x:c r="F226" s="7" t="n">
        <x:v>46266</x:v>
      </x:c>
    </x:row>
    <x:row r="227" ht="22" customHeight="1">
      <x:c r="A227" s="8" t="n">
        <x:v>45968</x:v>
      </x:c>
      <x:c r="B227" s="7" t="str">
        <x:v>CA_EQ</x:v>
      </x:c>
      <x:c r="C227" s="7" t="n">
        <x:v>93.7850775293</x:v>
      </x:c>
      <x:c r="D227" s="7" t="n">
        <x:v>93.7850775293</x:v>
      </x:c>
      <x:c r="E227" s="7" t="str">
        <x:v>SYNTHETIC: seeded teaching dataset; not observed market data</x:v>
      </x:c>
      <x:c r="F227" s="7" t="n">
        <x:v>46266</x:v>
      </x:c>
    </x:row>
    <x:row r="228" ht="22" customHeight="1">
      <x:c r="A228" s="8" t="n">
        <x:v>45971</x:v>
      </x:c>
      <x:c r="B228" s="7" t="str">
        <x:v>CA_EQ</x:v>
      </x:c>
      <x:c r="C228" s="7" t="n">
        <x:v>93.9894968474</x:v>
      </x:c>
      <x:c r="D228" s="7" t="n">
        <x:v>93.9894968474</x:v>
      </x:c>
      <x:c r="E228" s="7" t="str">
        <x:v>SYNTHETIC: seeded teaching dataset; not observed market data</x:v>
      </x:c>
      <x:c r="F228" s="7" t="n">
        <x:v>46266</x:v>
      </x:c>
    </x:row>
    <x:row r="229" ht="22" customHeight="1">
      <x:c r="A229" s="8" t="n">
        <x:v>45972</x:v>
      </x:c>
      <x:c r="B229" s="7" t="str">
        <x:v>CA_EQ</x:v>
      </x:c>
      <x:c r="C229" s="7" t="n">
        <x:v>92.3446969956</x:v>
      </x:c>
      <x:c r="D229" s="7" t="n">
        <x:v>92.3446969956</x:v>
      </x:c>
      <x:c r="E229" s="7" t="str">
        <x:v>SYNTHETIC: seeded teaching dataset; not observed market data</x:v>
      </x:c>
      <x:c r="F229" s="7" t="n">
        <x:v>46266</x:v>
      </x:c>
    </x:row>
    <x:row r="230" ht="22" customHeight="1">
      <x:c r="A230" s="8" t="n">
        <x:v>45973</x:v>
      </x:c>
      <x:c r="B230" s="7" t="str">
        <x:v>CA_EQ</x:v>
      </x:c>
      <x:c r="C230" s="7" t="n">
        <x:v>90.5763936352</x:v>
      </x:c>
      <x:c r="D230" s="7" t="n">
        <x:v>90.5763936352</x:v>
      </x:c>
      <x:c r="E230" s="7" t="str">
        <x:v>SYNTHETIC: seeded teaching dataset; not observed market data</x:v>
      </x:c>
      <x:c r="F230" s="7" t="n">
        <x:v>46266</x:v>
      </x:c>
    </x:row>
    <x:row r="231" ht="22" customHeight="1">
      <x:c r="A231" s="8" t="n">
        <x:v>45974</x:v>
      </x:c>
      <x:c r="B231" s="7" t="str">
        <x:v>CA_EQ</x:v>
      </x:c>
      <x:c r="C231" s="7" t="n">
        <x:v>91.0357478511</x:v>
      </x:c>
      <x:c r="D231" s="7" t="n">
        <x:v>91.0357478511</x:v>
      </x:c>
      <x:c r="E231" s="7" t="str">
        <x:v>SYNTHETIC: seeded teaching dataset; not observed market data</x:v>
      </x:c>
      <x:c r="F231" s="7" t="n">
        <x:v>46266</x:v>
      </x:c>
    </x:row>
    <x:row r="232" ht="22" customHeight="1">
      <x:c r="A232" s="8" t="n">
        <x:v>45975</x:v>
      </x:c>
      <x:c r="B232" s="7" t="str">
        <x:v>CA_EQ</x:v>
      </x:c>
      <x:c r="C232" s="7" t="n">
        <x:v>90.5224925447</x:v>
      </x:c>
      <x:c r="D232" s="7" t="n">
        <x:v>90.5224925447</x:v>
      </x:c>
      <x:c r="E232" s="7" t="str">
        <x:v>SYNTHETIC: seeded teaching dataset; not observed market data</x:v>
      </x:c>
      <x:c r="F232" s="7" t="n">
        <x:v>46266</x:v>
      </x:c>
    </x:row>
    <x:row r="233" ht="22" customHeight="1">
      <x:c r="A233" s="8" t="n">
        <x:v>45978</x:v>
      </x:c>
      <x:c r="B233" s="7" t="str">
        <x:v>CA_EQ</x:v>
      </x:c>
      <x:c r="C233" s="7" t="n">
        <x:v>90.3288879354</x:v>
      </x:c>
      <x:c r="D233" s="7" t="n">
        <x:v>90.3288879354</x:v>
      </x:c>
      <x:c r="E233" s="7" t="str">
        <x:v>SYNTHETIC: seeded teaching dataset; not observed market data</x:v>
      </x:c>
      <x:c r="F233" s="7" t="n">
        <x:v>46266</x:v>
      </x:c>
    </x:row>
    <x:row r="234" ht="22" customHeight="1">
      <x:c r="A234" s="8" t="n">
        <x:v>45979</x:v>
      </x:c>
      <x:c r="B234" s="7" t="str">
        <x:v>CA_EQ</x:v>
      </x:c>
      <x:c r="C234" s="7" t="n">
        <x:v>90.3488786795</x:v>
      </x:c>
      <x:c r="D234" s="7" t="n">
        <x:v>90.3488786795</x:v>
      </x:c>
      <x:c r="E234" s="7" t="str">
        <x:v>SYNTHETIC: seeded teaching dataset; not observed market data</x:v>
      </x:c>
      <x:c r="F234" s="7" t="n">
        <x:v>46266</x:v>
      </x:c>
    </x:row>
    <x:row r="235" ht="22" customHeight="1">
      <x:c r="A235" s="8" t="n">
        <x:v>45980</x:v>
      </x:c>
      <x:c r="B235" s="7" t="str">
        <x:v>CA_EQ</x:v>
      </x:c>
      <x:c r="C235" s="7" t="n">
        <x:v>89.9467229109</x:v>
      </x:c>
      <x:c r="D235" s="7" t="n">
        <x:v>89.9467229109</x:v>
      </x:c>
      <x:c r="E235" s="7" t="str">
        <x:v>SYNTHETIC: seeded teaching dataset; not observed market data</x:v>
      </x:c>
      <x:c r="F235" s="7" t="n">
        <x:v>46266</x:v>
      </x:c>
    </x:row>
    <x:row r="236" ht="22" customHeight="1">
      <x:c r="A236" s="8" t="n">
        <x:v>45981</x:v>
      </x:c>
      <x:c r="B236" s="7" t="str">
        <x:v>CA_EQ</x:v>
      </x:c>
      <x:c r="C236" s="7" t="n">
        <x:v>88.0627156441</x:v>
      </x:c>
      <x:c r="D236" s="7" t="n">
        <x:v>88.0627156441</x:v>
      </x:c>
      <x:c r="E236" s="7" t="str">
        <x:v>SYNTHETIC: seeded teaching dataset; not observed market data</x:v>
      </x:c>
      <x:c r="F236" s="7" t="n">
        <x:v>46266</x:v>
      </x:c>
    </x:row>
    <x:row r="237" ht="22" customHeight="1">
      <x:c r="A237" s="8" t="n">
        <x:v>45982</x:v>
      </x:c>
      <x:c r="B237" s="7" t="str">
        <x:v>CA_EQ</x:v>
      </x:c>
      <x:c r="C237" s="7" t="n">
        <x:v>88.5223446659</x:v>
      </x:c>
      <x:c r="D237" s="7" t="n">
        <x:v>88.5223446659</x:v>
      </x:c>
      <x:c r="E237" s="7" t="str">
        <x:v>SYNTHETIC: seeded teaching dataset; not observed market data</x:v>
      </x:c>
      <x:c r="F237" s="7" t="n">
        <x:v>46266</x:v>
      </x:c>
    </x:row>
    <x:row r="238" ht="22" customHeight="1">
      <x:c r="A238" s="8" t="n">
        <x:v>45985</x:v>
      </x:c>
      <x:c r="B238" s="7" t="str">
        <x:v>CA_EQ</x:v>
      </x:c>
      <x:c r="C238" s="7" t="n">
        <x:v>89.8823188936</x:v>
      </x:c>
      <x:c r="D238" s="7" t="n">
        <x:v>89.8823188936</x:v>
      </x:c>
      <x:c r="E238" s="7" t="str">
        <x:v>SYNTHETIC: seeded teaching dataset; not observed market data</x:v>
      </x:c>
      <x:c r="F238" s="7" t="n">
        <x:v>46266</x:v>
      </x:c>
    </x:row>
    <x:row r="239" ht="22" customHeight="1">
      <x:c r="A239" s="8" t="n">
        <x:v>45986</x:v>
      </x:c>
      <x:c r="B239" s="7" t="str">
        <x:v>CA_EQ</x:v>
      </x:c>
      <x:c r="C239" s="7" t="n">
        <x:v>89.8903498697</x:v>
      </x:c>
      <x:c r="D239" s="7" t="n">
        <x:v>89.8903498697</x:v>
      </x:c>
      <x:c r="E239" s="7" t="str">
        <x:v>SYNTHETIC: seeded teaching dataset; not observed market data</x:v>
      </x:c>
      <x:c r="F239" s="7" t="n">
        <x:v>46266</x:v>
      </x:c>
    </x:row>
    <x:row r="240" ht="22" customHeight="1">
      <x:c r="A240" s="8" t="n">
        <x:v>45987</x:v>
      </x:c>
      <x:c r="B240" s="7" t="str">
        <x:v>CA_EQ</x:v>
      </x:c>
      <x:c r="C240" s="7" t="n">
        <x:v>90.8083859727</x:v>
      </x:c>
      <x:c r="D240" s="7" t="n">
        <x:v>90.8083859727</x:v>
      </x:c>
      <x:c r="E240" s="7" t="str">
        <x:v>SYNTHETIC: seeded teaching dataset; not observed market data</x:v>
      </x:c>
      <x:c r="F240" s="7" t="n">
        <x:v>46266</x:v>
      </x:c>
    </x:row>
    <x:row r="241" ht="22" customHeight="1">
      <x:c r="A241" s="8" t="n">
        <x:v>45988</x:v>
      </x:c>
      <x:c r="B241" s="7" t="str">
        <x:v>CA_EQ</x:v>
      </x:c>
      <x:c r="C241" s="7" t="n">
        <x:v>91.1572768359</x:v>
      </x:c>
      <x:c r="D241" s="7" t="n">
        <x:v>91.1572768359</x:v>
      </x:c>
      <x:c r="E241" s="7" t="str">
        <x:v>SYNTHETIC: seeded teaching dataset; not observed market data</x:v>
      </x:c>
      <x:c r="F241" s="7" t="n">
        <x:v>46266</x:v>
      </x:c>
    </x:row>
    <x:row r="242" ht="22" customHeight="1">
      <x:c r="A242" s="8" t="n">
        <x:v>45989</x:v>
      </x:c>
      <x:c r="B242" s="7" t="str">
        <x:v>CA_EQ</x:v>
      </x:c>
      <x:c r="C242" s="7" t="n">
        <x:v>89.4330234314</x:v>
      </x:c>
      <x:c r="D242" s="7" t="n">
        <x:v>89.4330234314</x:v>
      </x:c>
      <x:c r="E242" s="7" t="str">
        <x:v>SYNTHETIC: seeded teaching dataset; not observed market data</x:v>
      </x:c>
      <x:c r="F242" s="7" t="n">
        <x:v>46266</x:v>
      </x:c>
    </x:row>
    <x:row r="243" ht="22" customHeight="1">
      <x:c r="A243" s="8" t="n">
        <x:v>45992</x:v>
      </x:c>
      <x:c r="B243" s="7" t="str">
        <x:v>CA_EQ</x:v>
      </x:c>
      <x:c r="C243" s="7" t="n">
        <x:v>89.1604691867</x:v>
      </x:c>
      <x:c r="D243" s="7" t="n">
        <x:v>89.1604691867</x:v>
      </x:c>
      <x:c r="E243" s="7" t="str">
        <x:v>SYNTHETIC: seeded teaching dataset; not observed market data</x:v>
      </x:c>
      <x:c r="F243" s="7" t="n">
        <x:v>46266</x:v>
      </x:c>
    </x:row>
    <x:row r="244" ht="22" customHeight="1">
      <x:c r="A244" s="8" t="n">
        <x:v>45993</x:v>
      </x:c>
      <x:c r="B244" s="7" t="str">
        <x:v>CA_EQ</x:v>
      </x:c>
      <x:c r="C244" s="7" t="n">
        <x:v>90.5548586032</x:v>
      </x:c>
      <x:c r="D244" s="7" t="n">
        <x:v>90.5548586032</x:v>
      </x:c>
      <x:c r="E244" s="7" t="str">
        <x:v>SYNTHETIC: seeded teaching dataset; not observed market data</x:v>
      </x:c>
      <x:c r="F244" s="7" t="n">
        <x:v>46266</x:v>
      </x:c>
    </x:row>
    <x:row r="245" ht="22" customHeight="1">
      <x:c r="A245" s="8" t="n">
        <x:v>45994</x:v>
      </x:c>
      <x:c r="B245" s="7" t="str">
        <x:v>CA_EQ</x:v>
      </x:c>
      <x:c r="C245" s="7" t="n">
        <x:v>91.5321157976</x:v>
      </x:c>
      <x:c r="D245" s="7" t="n">
        <x:v>91.5321157976</x:v>
      </x:c>
      <x:c r="E245" s="7" t="str">
        <x:v>SYNTHETIC: seeded teaching dataset; not observed market data</x:v>
      </x:c>
      <x:c r="F245" s="7" t="n">
        <x:v>46266</x:v>
      </x:c>
    </x:row>
    <x:row r="246" ht="22" customHeight="1">
      <x:c r="A246" s="8" t="n">
        <x:v>45995</x:v>
      </x:c>
      <x:c r="B246" s="7" t="str">
        <x:v>CA_EQ</x:v>
      </x:c>
      <x:c r="C246" s="7" t="n">
        <x:v>89.841646542</x:v>
      </x:c>
      <x:c r="D246" s="7" t="n">
        <x:v>89.841646542</x:v>
      </x:c>
      <x:c r="E246" s="7" t="str">
        <x:v>SYNTHETIC: seeded teaching dataset; not observed market data</x:v>
      </x:c>
      <x:c r="F246" s="7" t="n">
        <x:v>46266</x:v>
      </x:c>
    </x:row>
    <x:row r="247" ht="22" customHeight="1">
      <x:c r="A247" s="8" t="n">
        <x:v>45996</x:v>
      </x:c>
      <x:c r="B247" s="7" t="str">
        <x:v>CA_EQ</x:v>
      </x:c>
      <x:c r="C247" s="7" t="n">
        <x:v>89.5871384952</x:v>
      </x:c>
      <x:c r="D247" s="7" t="n">
        <x:v>89.5871384952</x:v>
      </x:c>
      <x:c r="E247" s="7" t="str">
        <x:v>SYNTHETIC: seeded teaching dataset; not observed market data</x:v>
      </x:c>
      <x:c r="F247" s="7" t="n">
        <x:v>46266</x:v>
      </x:c>
    </x:row>
    <x:row r="248" ht="22" customHeight="1">
      <x:c r="A248" s="8" t="n">
        <x:v>45999</x:v>
      </x:c>
      <x:c r="B248" s="7" t="str">
        <x:v>CA_EQ</x:v>
      </x:c>
      <x:c r="C248" s="7" t="n">
        <x:v>89.7484344183</x:v>
      </x:c>
      <x:c r="D248" s="7" t="n">
        <x:v>89.7484344183</x:v>
      </x:c>
      <x:c r="E248" s="7" t="str">
        <x:v>SYNTHETIC: seeded teaching dataset; not observed market data</x:v>
      </x:c>
      <x:c r="F248" s="7" t="n">
        <x:v>46266</x:v>
      </x:c>
    </x:row>
    <x:row r="249" ht="22" customHeight="1">
      <x:c r="A249" s="8" t="n">
        <x:v>46000</x:v>
      </x:c>
      <x:c r="B249" s="7" t="str">
        <x:v>CA_EQ</x:v>
      </x:c>
      <x:c r="C249" s="7" t="n">
        <x:v>89.0459472109</x:v>
      </x:c>
      <x:c r="D249" s="7" t="n">
        <x:v>89.0459472109</x:v>
      </x:c>
      <x:c r="E249" s="7" t="str">
        <x:v>SYNTHETIC: seeded teaching dataset; not observed market data</x:v>
      </x:c>
      <x:c r="F249" s="7" t="n">
        <x:v>46266</x:v>
      </x:c>
    </x:row>
    <x:row r="250" ht="22" customHeight="1">
      <x:c r="A250" s="8" t="n">
        <x:v>46001</x:v>
      </x:c>
      <x:c r="B250" s="7" t="str">
        <x:v>CA_EQ</x:v>
      </x:c>
      <x:c r="C250" s="7" t="n">
        <x:v>89.4983322005</x:v>
      </x:c>
      <x:c r="D250" s="7" t="n">
        <x:v>89.4983322005</x:v>
      </x:c>
      <x:c r="E250" s="7" t="str">
        <x:v>SYNTHETIC: seeded teaching dataset; not observed market data</x:v>
      </x:c>
      <x:c r="F250" s="7" t="n">
        <x:v>46266</x:v>
      </x:c>
    </x:row>
    <x:row r="251" ht="22" customHeight="1">
      <x:c r="A251" s="8" t="n">
        <x:v>46002</x:v>
      </x:c>
      <x:c r="B251" s="7" t="str">
        <x:v>CA_EQ</x:v>
      </x:c>
      <x:c r="C251" s="7" t="n">
        <x:v>89.6463805185</x:v>
      </x:c>
      <x:c r="D251" s="7" t="n">
        <x:v>89.6463805185</x:v>
      </x:c>
      <x:c r="E251" s="7" t="str">
        <x:v>SYNTHETIC: seeded teaching dataset; not observed market data</x:v>
      </x:c>
      <x:c r="F251" s="7" t="n">
        <x:v>46266</x:v>
      </x:c>
    </x:row>
    <x:row r="252" ht="22" customHeight="1">
      <x:c r="A252" s="8" t="n">
        <x:v>46003</x:v>
      </x:c>
      <x:c r="B252" s="7" t="str">
        <x:v>CA_EQ</x:v>
      </x:c>
      <x:c r="C252" s="7" t="n">
        <x:v>89.3987057047</x:v>
      </x:c>
      <x:c r="D252" s="7" t="n">
        <x:v>89.3987057047</x:v>
      </x:c>
      <x:c r="E252" s="7" t="str">
        <x:v>SYNTHETIC: seeded teaching dataset; not observed market data</x:v>
      </x:c>
      <x:c r="F252" s="7" t="n">
        <x:v>46266</x:v>
      </x:c>
    </x:row>
    <x:row r="253" ht="22" customHeight="1">
      <x:c r="A253" s="8" t="n">
        <x:v>46006</x:v>
      </x:c>
      <x:c r="B253" s="7" t="str">
        <x:v>CA_EQ</x:v>
      </x:c>
      <x:c r="C253" s="7" t="n">
        <x:v>89.3784418797</x:v>
      </x:c>
      <x:c r="D253" s="7" t="n">
        <x:v>89.3784418797</x:v>
      </x:c>
      <x:c r="E253" s="7" t="str">
        <x:v>SYNTHETIC: seeded teaching dataset; not observed market data</x:v>
      </x:c>
      <x:c r="F253" s="7" t="n">
        <x:v>46266</x:v>
      </x:c>
    </x:row>
    <x:row r="254" ht="22" customHeight="1">
      <x:c r="A254" s="8" t="n">
        <x:v>46007</x:v>
      </x:c>
      <x:c r="B254" s="7" t="str">
        <x:v>CA_EQ</x:v>
      </x:c>
      <x:c r="C254" s="7" t="n">
        <x:v>89.4902159898</x:v>
      </x:c>
      <x:c r="D254" s="7" t="n">
        <x:v>89.4902159898</x:v>
      </x:c>
      <x:c r="E254" s="7" t="str">
        <x:v>SYNTHETIC: seeded teaching dataset; not observed market data</x:v>
      </x:c>
      <x:c r="F254" s="7" t="n">
        <x:v>46266</x:v>
      </x:c>
    </x:row>
    <x:row r="255" ht="22" customHeight="1">
      <x:c r="A255" s="8" t="n">
        <x:v>46008</x:v>
      </x:c>
      <x:c r="B255" s="7" t="str">
        <x:v>CA_EQ</x:v>
      </x:c>
      <x:c r="C255" s="7" t="n">
        <x:v>88.2733267093</x:v>
      </x:c>
      <x:c r="D255" s="7" t="n">
        <x:v>88.2733267093</x:v>
      </x:c>
      <x:c r="E255" s="7" t="str">
        <x:v>SYNTHETIC: seeded teaching dataset; not observed market data</x:v>
      </x:c>
      <x:c r="F255" s="7" t="n">
        <x:v>46266</x:v>
      </x:c>
    </x:row>
    <x:row r="256" ht="22" customHeight="1">
      <x:c r="A256" s="8" t="n">
        <x:v>46009</x:v>
      </x:c>
      <x:c r="B256" s="7" t="str">
        <x:v>CA_EQ</x:v>
      </x:c>
      <x:c r="C256" s="7" t="n">
        <x:v>87.2739981607</x:v>
      </x:c>
      <x:c r="D256" s="7" t="n">
        <x:v>87.2739981607</x:v>
      </x:c>
      <x:c r="E256" s="7" t="str">
        <x:v>SYNTHETIC: seeded teaching dataset; not observed market data</x:v>
      </x:c>
      <x:c r="F256" s="7" t="n">
        <x:v>46266</x:v>
      </x:c>
    </x:row>
    <x:row r="257" ht="22" customHeight="1">
      <x:c r="A257" s="8" t="n">
        <x:v>46010</x:v>
      </x:c>
      <x:c r="B257" s="7" t="str">
        <x:v>CA_EQ</x:v>
      </x:c>
      <x:c r="C257" s="7" t="n">
        <x:v>88.4736489443</x:v>
      </x:c>
      <x:c r="D257" s="7" t="n">
        <x:v>88.4736489443</x:v>
      </x:c>
      <x:c r="E257" s="7" t="str">
        <x:v>SYNTHETIC: seeded teaching dataset; not observed market data</x:v>
      </x:c>
      <x:c r="F257" s="7" t="n">
        <x:v>46266</x:v>
      </x:c>
    </x:row>
    <x:row r="258" ht="22" customHeight="1">
      <x:c r="A258" s="8" t="n">
        <x:v>46013</x:v>
      </x:c>
      <x:c r="B258" s="7" t="str">
        <x:v>CA_EQ</x:v>
      </x:c>
      <x:c r="C258" s="7" t="n">
        <x:v>88.3743330161</x:v>
      </x:c>
      <x:c r="D258" s="7" t="n">
        <x:v>88.3743330161</x:v>
      </x:c>
      <x:c r="E258" s="7" t="str">
        <x:v>SYNTHETIC: seeded teaching dataset; not observed market data</x:v>
      </x:c>
      <x:c r="F258" s="7" t="n">
        <x:v>46266</x:v>
      </x:c>
    </x:row>
    <x:row r="259" ht="22" customHeight="1">
      <x:c r="A259" s="8" t="n">
        <x:v>46014</x:v>
      </x:c>
      <x:c r="B259" s="7" t="str">
        <x:v>CA_EQ</x:v>
      </x:c>
      <x:c r="C259" s="7" t="n">
        <x:v>88.8987634442</x:v>
      </x:c>
      <x:c r="D259" s="7" t="n">
        <x:v>88.8987634442</x:v>
      </x:c>
      <x:c r="E259" s="7" t="str">
        <x:v>SYNTHETIC: seeded teaching dataset; not observed market data</x:v>
      </x:c>
      <x:c r="F259" s="7" t="n">
        <x:v>46266</x:v>
      </x:c>
    </x:row>
    <x:row r="260" ht="22" customHeight="1">
      <x:c r="A260" s="8" t="n">
        <x:v>46015</x:v>
      </x:c>
      <x:c r="B260" s="7" t="str">
        <x:v>CA_EQ</x:v>
      </x:c>
      <x:c r="C260" s="7" t="n">
        <x:v>89.6649202198</x:v>
      </x:c>
      <x:c r="D260" s="7" t="n">
        <x:v>89.6649202198</x:v>
      </x:c>
      <x:c r="E260" s="7" t="str">
        <x:v>SYNTHETIC: seeded teaching dataset; not observed market data</x:v>
      </x:c>
      <x:c r="F260" s="7" t="n">
        <x:v>46266</x:v>
      </x:c>
    </x:row>
    <x:row r="261" ht="22" customHeight="1">
      <x:c r="A261" s="8" t="n">
        <x:v>46016</x:v>
      </x:c>
      <x:c r="B261" s="7" t="str">
        <x:v>CA_EQ</x:v>
      </x:c>
      <x:c r="C261" s="7" t="n">
        <x:v>90.7001251947</x:v>
      </x:c>
      <x:c r="D261" s="7" t="n">
        <x:v>90.7001251947</x:v>
      </x:c>
      <x:c r="E261" s="7" t="str">
        <x:v>SYNTHETIC: seeded teaching dataset; not observed market data</x:v>
      </x:c>
      <x:c r="F261" s="7" t="n">
        <x:v>46266</x:v>
      </x:c>
    </x:row>
    <x:row r="262" ht="22" customHeight="1">
      <x:c r="A262" s="8" t="n">
        <x:v>46017</x:v>
      </x:c>
      <x:c r="B262" s="7" t="str">
        <x:v>CA_EQ</x:v>
      </x:c>
      <x:c r="C262" s="7" t="n">
        <x:v>90.5042197645</x:v>
      </x:c>
      <x:c r="D262" s="7" t="n">
        <x:v>90.5042197645</x:v>
      </x:c>
      <x:c r="E262" s="7" t="str">
        <x:v>SYNTHETIC: seeded teaching dataset; not observed market data</x:v>
      </x:c>
      <x:c r="F262" s="7" t="n">
        <x:v>46266</x:v>
      </x:c>
    </x:row>
    <x:row r="263" ht="22" customHeight="1">
      <x:c r="A263" s="8" t="n">
        <x:v>46020</x:v>
      </x:c>
      <x:c r="B263" s="7" t="str">
        <x:v>CA_EQ</x:v>
      </x:c>
      <x:c r="C263" s="7" t="n">
        <x:v>91.4256185374</x:v>
      </x:c>
      <x:c r="D263" s="7" t="n">
        <x:v>91.4256185374</x:v>
      </x:c>
      <x:c r="E263" s="7" t="str">
        <x:v>SYNTHETIC: seeded teaching dataset; not observed market data</x:v>
      </x:c>
      <x:c r="F263" s="7" t="n">
        <x:v>46266</x:v>
      </x:c>
    </x:row>
    <x:row r="264" ht="22" customHeight="1">
      <x:c r="A264" s="8" t="n">
        <x:v>46021</x:v>
      </x:c>
      <x:c r="B264" s="7" t="str">
        <x:v>CA_EQ</x:v>
      </x:c>
      <x:c r="C264" s="7" t="n">
        <x:v>90.5056972166</x:v>
      </x:c>
      <x:c r="D264" s="7" t="n">
        <x:v>90.5056972166</x:v>
      </x:c>
      <x:c r="E264" s="7" t="str">
        <x:v>SYNTHETIC: seeded teaching dataset; not observed market data</x:v>
      </x:c>
      <x:c r="F264" s="7" t="n">
        <x:v>46266</x:v>
      </x:c>
    </x:row>
    <x:row r="265" ht="22" customHeight="1">
      <x:c r="A265" s="8" t="n">
        <x:v>46022</x:v>
      </x:c>
      <x:c r="B265" s="7" t="str">
        <x:v>CA_EQ</x:v>
      </x:c>
      <x:c r="C265" s="7" t="n">
        <x:v>89.604092333</x:v>
      </x:c>
      <x:c r="D265" s="7" t="n">
        <x:v>89.604092333</x:v>
      </x:c>
      <x:c r="E265" s="7" t="str">
        <x:v>SYNTHETIC: seeded teaching dataset; not observed market data</x:v>
      </x:c>
      <x:c r="F265" s="7" t="n">
        <x:v>46266</x:v>
      </x:c>
    </x:row>
    <x:row r="266" ht="22" customHeight="1">
      <x:c r="A266" s="8" t="n">
        <x:v>46023</x:v>
      </x:c>
      <x:c r="B266" s="7" t="str">
        <x:v>CA_EQ</x:v>
      </x:c>
      <x:c r="C266" s="7" t="n">
        <x:v>90.5315115053</x:v>
      </x:c>
      <x:c r="D266" s="7" t="n">
        <x:v>90.5315115053</x:v>
      </x:c>
      <x:c r="E266" s="7" t="str">
        <x:v>SYNTHETIC: seeded teaching dataset; not observed market data</x:v>
      </x:c>
      <x:c r="F266" s="7" t="n">
        <x:v>46266</x:v>
      </x:c>
    </x:row>
    <x:row r="267" ht="22" customHeight="1">
      <x:c r="A267" s="8" t="n">
        <x:v>46024</x:v>
      </x:c>
      <x:c r="B267" s="7" t="str">
        <x:v>CA_EQ</x:v>
      </x:c>
      <x:c r="C267" s="7" t="n">
        <x:v>90.5435670151</x:v>
      </x:c>
      <x:c r="D267" s="7" t="n">
        <x:v>90.5435670151</x:v>
      </x:c>
      <x:c r="E267" s="7" t="str">
        <x:v>SYNTHETIC: seeded teaching dataset; not observed market data</x:v>
      </x:c>
      <x:c r="F267" s="7" t="n">
        <x:v>46266</x:v>
      </x:c>
    </x:row>
    <x:row r="268" ht="22" customHeight="1">
      <x:c r="A268" s="8" t="n">
        <x:v>46027</x:v>
      </x:c>
      <x:c r="B268" s="7" t="str">
        <x:v>CA_EQ</x:v>
      </x:c>
      <x:c r="C268" s="7" t="n">
        <x:v>90.6566974257</x:v>
      </x:c>
      <x:c r="D268" s="7" t="n">
        <x:v>90.6566974257</x:v>
      </x:c>
      <x:c r="E268" s="7" t="str">
        <x:v>SYNTHETIC: seeded teaching dataset; not observed market data</x:v>
      </x:c>
      <x:c r="F268" s="7" t="n">
        <x:v>46266</x:v>
      </x:c>
    </x:row>
    <x:row r="269" ht="22" customHeight="1">
      <x:c r="A269" s="8" t="n">
        <x:v>46028</x:v>
      </x:c>
      <x:c r="B269" s="7" t="str">
        <x:v>CA_EQ</x:v>
      </x:c>
      <x:c r="C269" s="7" t="n">
        <x:v>91.1388389509</x:v>
      </x:c>
      <x:c r="D269" s="7" t="n">
        <x:v>91.1388389509</x:v>
      </x:c>
      <x:c r="E269" s="7" t="str">
        <x:v>SYNTHETIC: seeded teaching dataset; not observed market data</x:v>
      </x:c>
      <x:c r="F269" s="7" t="n">
        <x:v>46266</x:v>
      </x:c>
    </x:row>
    <x:row r="270" ht="22" customHeight="1">
      <x:c r="A270" s="8" t="n">
        <x:v>46029</x:v>
      </x:c>
      <x:c r="B270" s="7" t="str">
        <x:v>CA_EQ</x:v>
      </x:c>
      <x:c r="C270" s="7" t="n">
        <x:v>90.5986597482</x:v>
      </x:c>
      <x:c r="D270" s="7" t="n">
        <x:v>90.5986597482</x:v>
      </x:c>
      <x:c r="E270" s="7" t="str">
        <x:v>SYNTHETIC: seeded teaching dataset; not observed market data</x:v>
      </x:c>
      <x:c r="F270" s="7" t="n">
        <x:v>46266</x:v>
      </x:c>
    </x:row>
    <x:row r="271" ht="22" customHeight="1">
      <x:c r="A271" s="8" t="n">
        <x:v>46030</x:v>
      </x:c>
      <x:c r="B271" s="7" t="str">
        <x:v>CA_EQ</x:v>
      </x:c>
      <x:c r="C271" s="7" t="n">
        <x:v>91.5865109871</x:v>
      </x:c>
      <x:c r="D271" s="7" t="n">
        <x:v>91.5865109871</x:v>
      </x:c>
      <x:c r="E271" s="7" t="str">
        <x:v>SYNTHETIC: seeded teaching dataset; not observed market data</x:v>
      </x:c>
      <x:c r="F271" s="7" t="n">
        <x:v>46266</x:v>
      </x:c>
    </x:row>
    <x:row r="272" ht="22" customHeight="1">
      <x:c r="A272" s="8" t="n">
        <x:v>46031</x:v>
      </x:c>
      <x:c r="B272" s="7" t="str">
        <x:v>CA_EQ</x:v>
      </x:c>
      <x:c r="C272" s="7" t="n">
        <x:v>90.8893044043</x:v>
      </x:c>
      <x:c r="D272" s="7" t="n">
        <x:v>90.8893044043</x:v>
      </x:c>
      <x:c r="E272" s="7" t="str">
        <x:v>SYNTHETIC: seeded teaching dataset; not observed market data</x:v>
      </x:c>
      <x:c r="F272" s="7" t="n">
        <x:v>46266</x:v>
      </x:c>
    </x:row>
    <x:row r="273" ht="22" customHeight="1">
      <x:c r="A273" s="8" t="n">
        <x:v>46034</x:v>
      </x:c>
      <x:c r="B273" s="7" t="str">
        <x:v>CA_EQ</x:v>
      </x:c>
      <x:c r="C273" s="7" t="n">
        <x:v>90.2749481062</x:v>
      </x:c>
      <x:c r="D273" s="7" t="n">
        <x:v>90.2749481062</x:v>
      </x:c>
      <x:c r="E273" s="7" t="str">
        <x:v>SYNTHETIC: seeded teaching dataset; not observed market data</x:v>
      </x:c>
      <x:c r="F273" s="7" t="n">
        <x:v>46266</x:v>
      </x:c>
    </x:row>
    <x:row r="274" ht="22" customHeight="1">
      <x:c r="A274" s="8" t="n">
        <x:v>46035</x:v>
      </x:c>
      <x:c r="B274" s="7" t="str">
        <x:v>CA_EQ</x:v>
      </x:c>
      <x:c r="C274" s="7" t="n">
        <x:v>90.1879948574</x:v>
      </x:c>
      <x:c r="D274" s="7" t="n">
        <x:v>90.1879948574</x:v>
      </x:c>
      <x:c r="E274" s="7" t="str">
        <x:v>SYNTHETIC: seeded teaching dataset; not observed market data</x:v>
      </x:c>
      <x:c r="F274" s="7" t="n">
        <x:v>46266</x:v>
      </x:c>
    </x:row>
    <x:row r="275" ht="22" customHeight="1">
      <x:c r="A275" s="8" t="n">
        <x:v>46036</x:v>
      </x:c>
      <x:c r="B275" s="7" t="str">
        <x:v>CA_EQ</x:v>
      </x:c>
      <x:c r="C275" s="7" t="n">
        <x:v>90.8285687377</x:v>
      </x:c>
      <x:c r="D275" s="7" t="n">
        <x:v>90.8285687377</x:v>
      </x:c>
      <x:c r="E275" s="7" t="str">
        <x:v>SYNTHETIC: seeded teaching dataset; not observed market data</x:v>
      </x:c>
      <x:c r="F275" s="7" t="n">
        <x:v>46266</x:v>
      </x:c>
    </x:row>
    <x:row r="276" ht="22" customHeight="1">
      <x:c r="A276" s="8" t="n">
        <x:v>46037</x:v>
      </x:c>
      <x:c r="B276" s="7" t="str">
        <x:v>CA_EQ</x:v>
      </x:c>
      <x:c r="C276" s="7" t="n">
        <x:v>92.0938139853</x:v>
      </x:c>
      <x:c r="D276" s="7" t="n">
        <x:v>92.0938139853</x:v>
      </x:c>
      <x:c r="E276" s="7" t="str">
        <x:v>SYNTHETIC: seeded teaching dataset; not observed market data</x:v>
      </x:c>
      <x:c r="F276" s="7" t="n">
        <x:v>46266</x:v>
      </x:c>
    </x:row>
    <x:row r="277" ht="22" customHeight="1">
      <x:c r="A277" s="8" t="n">
        <x:v>46038</x:v>
      </x:c>
      <x:c r="B277" s="7" t="str">
        <x:v>CA_EQ</x:v>
      </x:c>
      <x:c r="C277" s="7" t="n">
        <x:v>92.0329167916</x:v>
      </x:c>
      <x:c r="D277" s="7" t="n">
        <x:v>92.0329167916</x:v>
      </x:c>
      <x:c r="E277" s="7" t="str">
        <x:v>SYNTHETIC: seeded teaching dataset; not observed market data</x:v>
      </x:c>
      <x:c r="F277" s="7" t="n">
        <x:v>46266</x:v>
      </x:c>
    </x:row>
    <x:row r="278" ht="22" customHeight="1">
      <x:c r="A278" s="8" t="n">
        <x:v>46041</x:v>
      </x:c>
      <x:c r="B278" s="7" t="str">
        <x:v>CA_EQ</x:v>
      </x:c>
      <x:c r="C278" s="7" t="n">
        <x:v>91.899994705</x:v>
      </x:c>
      <x:c r="D278" s="7" t="n">
        <x:v>91.899994705</x:v>
      </x:c>
      <x:c r="E278" s="7" t="str">
        <x:v>SYNTHETIC: seeded teaching dataset; not observed market data</x:v>
      </x:c>
      <x:c r="F278" s="7" t="n">
        <x:v>46266</x:v>
      </x:c>
    </x:row>
    <x:row r="279" ht="22" customHeight="1">
      <x:c r="A279" s="8" t="n">
        <x:v>46042</x:v>
      </x:c>
      <x:c r="B279" s="7" t="str">
        <x:v>CA_EQ</x:v>
      </x:c>
      <x:c r="C279" s="7" t="n">
        <x:v>93.3787142062</x:v>
      </x:c>
      <x:c r="D279" s="7" t="n">
        <x:v>93.3787142062</x:v>
      </x:c>
      <x:c r="E279" s="7" t="str">
        <x:v>SYNTHETIC: seeded teaching dataset; not observed market data</x:v>
      </x:c>
      <x:c r="F279" s="7" t="n">
        <x:v>46266</x:v>
      </x:c>
    </x:row>
    <x:row r="280" ht="22" customHeight="1">
      <x:c r="A280" s="8" t="n">
        <x:v>46043</x:v>
      </x:c>
      <x:c r="B280" s="7" t="str">
        <x:v>CA_EQ</x:v>
      </x:c>
      <x:c r="C280" s="7" t="n">
        <x:v>95.7124167211</x:v>
      </x:c>
      <x:c r="D280" s="7" t="n">
        <x:v>95.7124167211</x:v>
      </x:c>
      <x:c r="E280" s="7" t="str">
        <x:v>SYNTHETIC: seeded teaching dataset; not observed market data</x:v>
      </x:c>
      <x:c r="F280" s="7" t="n">
        <x:v>46266</x:v>
      </x:c>
    </x:row>
    <x:row r="281" ht="22" customHeight="1">
      <x:c r="A281" s="8" t="n">
        <x:v>46044</x:v>
      </x:c>
      <x:c r="B281" s="7" t="str">
        <x:v>CA_EQ</x:v>
      </x:c>
      <x:c r="C281" s="7" t="n">
        <x:v>95.4533200248</x:v>
      </x:c>
      <x:c r="D281" s="7" t="n">
        <x:v>95.4533200248</x:v>
      </x:c>
      <x:c r="E281" s="7" t="str">
        <x:v>SYNTHETIC: seeded teaching dataset; not observed market data</x:v>
      </x:c>
      <x:c r="F281" s="7" t="n">
        <x:v>46266</x:v>
      </x:c>
    </x:row>
    <x:row r="282" ht="22" customHeight="1">
      <x:c r="A282" s="8" t="n">
        <x:v>46045</x:v>
      </x:c>
      <x:c r="B282" s="7" t="str">
        <x:v>CA_EQ</x:v>
      </x:c>
      <x:c r="C282" s="7" t="n">
        <x:v>96.2003790587</x:v>
      </x:c>
      <x:c r="D282" s="7" t="n">
        <x:v>96.2003790587</x:v>
      </x:c>
      <x:c r="E282" s="7" t="str">
        <x:v>SYNTHETIC: seeded teaching dataset; not observed market data</x:v>
      </x:c>
      <x:c r="F282" s="7" t="n">
        <x:v>46266</x:v>
      </x:c>
    </x:row>
    <x:row r="283" ht="22" customHeight="1">
      <x:c r="A283" s="8" t="n">
        <x:v>46048</x:v>
      </x:c>
      <x:c r="B283" s="7" t="str">
        <x:v>CA_EQ</x:v>
      </x:c>
      <x:c r="C283" s="7" t="n">
        <x:v>97.5485322342</x:v>
      </x:c>
      <x:c r="D283" s="7" t="n">
        <x:v>97.5485322342</x:v>
      </x:c>
      <x:c r="E283" s="7" t="str">
        <x:v>SYNTHETIC: seeded teaching dataset; not observed market data</x:v>
      </x:c>
      <x:c r="F283" s="7" t="n">
        <x:v>46266</x:v>
      </x:c>
    </x:row>
    <x:row r="284" ht="22" customHeight="1">
      <x:c r="A284" s="8" t="n">
        <x:v>46049</x:v>
      </x:c>
      <x:c r="B284" s="7" t="str">
        <x:v>CA_EQ</x:v>
      </x:c>
      <x:c r="C284" s="7" t="n">
        <x:v>97.233978233</x:v>
      </x:c>
      <x:c r="D284" s="7" t="n">
        <x:v>97.233978233</x:v>
      </x:c>
      <x:c r="E284" s="7" t="str">
        <x:v>SYNTHETIC: seeded teaching dataset; not observed market data</x:v>
      </x:c>
      <x:c r="F284" s="7" t="n">
        <x:v>46266</x:v>
      </x:c>
    </x:row>
    <x:row r="285" ht="22" customHeight="1">
      <x:c r="A285" s="8" t="n">
        <x:v>46050</x:v>
      </x:c>
      <x:c r="B285" s="7" t="str">
        <x:v>CA_EQ</x:v>
      </x:c>
      <x:c r="C285" s="7" t="n">
        <x:v>96.3234285924</x:v>
      </x:c>
      <x:c r="D285" s="7" t="n">
        <x:v>96.3234285924</x:v>
      </x:c>
      <x:c r="E285" s="7" t="str">
        <x:v>SYNTHETIC: seeded teaching dataset; not observed market data</x:v>
      </x:c>
      <x:c r="F285" s="7" t="n">
        <x:v>46266</x:v>
      </x:c>
    </x:row>
    <x:row r="286" ht="22" customHeight="1">
      <x:c r="A286" s="8" t="n">
        <x:v>46051</x:v>
      </x:c>
      <x:c r="B286" s="7" t="str">
        <x:v>CA_EQ</x:v>
      </x:c>
      <x:c r="C286" s="7" t="n">
        <x:v>95.8146687736</x:v>
      </x:c>
      <x:c r="D286" s="7" t="n">
        <x:v>95.8146687736</x:v>
      </x:c>
      <x:c r="E286" s="7" t="str">
        <x:v>SYNTHETIC: seeded teaching dataset; not observed market data</x:v>
      </x:c>
      <x:c r="F286" s="7" t="n">
        <x:v>46266</x:v>
      </x:c>
    </x:row>
    <x:row r="287" ht="22" customHeight="1">
      <x:c r="A287" s="8" t="n">
        <x:v>46052</x:v>
      </x:c>
      <x:c r="B287" s="7" t="str">
        <x:v>CA_EQ</x:v>
      </x:c>
      <x:c r="C287" s="7" t="n">
        <x:v>94.9850261677</x:v>
      </x:c>
      <x:c r="D287" s="7" t="n">
        <x:v>94.9850261677</x:v>
      </x:c>
      <x:c r="E287" s="7" t="str">
        <x:v>SYNTHETIC: seeded teaching dataset; not observed market data</x:v>
      </x:c>
      <x:c r="F287" s="7" t="n">
        <x:v>46266</x:v>
      </x:c>
    </x:row>
    <x:row r="288" ht="22" customHeight="1">
      <x:c r="A288" s="8" t="n">
        <x:v>46055</x:v>
      </x:c>
      <x:c r="B288" s="7" t="str">
        <x:v>CA_EQ</x:v>
      </x:c>
      <x:c r="C288" s="7" t="n">
        <x:v>96.0066455158</x:v>
      </x:c>
      <x:c r="D288" s="7" t="n">
        <x:v>96.0066455158</x:v>
      </x:c>
      <x:c r="E288" s="7" t="str">
        <x:v>SYNTHETIC: seeded teaching dataset; not observed market data</x:v>
      </x:c>
      <x:c r="F288" s="7" t="n">
        <x:v>46266</x:v>
      </x:c>
    </x:row>
    <x:row r="289" ht="22" customHeight="1">
      <x:c r="A289" s="8" t="n">
        <x:v>46056</x:v>
      </x:c>
      <x:c r="B289" s="7" t="str">
        <x:v>CA_EQ</x:v>
      </x:c>
      <x:c r="C289" s="7" t="n">
        <x:v>98.2787216068</x:v>
      </x:c>
      <x:c r="D289" s="7" t="n">
        <x:v>98.2787216068</x:v>
      </x:c>
      <x:c r="E289" s="7" t="str">
        <x:v>SYNTHETIC: seeded teaching dataset; not observed market data</x:v>
      </x:c>
      <x:c r="F289" s="7" t="n">
        <x:v>46266</x:v>
      </x:c>
    </x:row>
    <x:row r="290" ht="22" customHeight="1">
      <x:c r="A290" s="8" t="n">
        <x:v>46057</x:v>
      </x:c>
      <x:c r="B290" s="7" t="str">
        <x:v>CA_EQ</x:v>
      </x:c>
      <x:c r="C290" s="7" t="n">
        <x:v>98.3093499962</x:v>
      </x:c>
      <x:c r="D290" s="7" t="n">
        <x:v>98.3093499962</x:v>
      </x:c>
      <x:c r="E290" s="7" t="str">
        <x:v>SYNTHETIC: seeded teaching dataset; not observed market data</x:v>
      </x:c>
      <x:c r="F290" s="7" t="n">
        <x:v>46266</x:v>
      </x:c>
    </x:row>
    <x:row r="291" ht="22" customHeight="1">
      <x:c r="A291" s="8" t="n">
        <x:v>46058</x:v>
      </x:c>
      <x:c r="B291" s="7" t="str">
        <x:v>CA_EQ</x:v>
      </x:c>
      <x:c r="C291" s="7" t="n">
        <x:v>97.614232229</x:v>
      </x:c>
      <x:c r="D291" s="7" t="n">
        <x:v>97.614232229</x:v>
      </x:c>
      <x:c r="E291" s="7" t="str">
        <x:v>SYNTHETIC: seeded teaching dataset; not observed market data</x:v>
      </x:c>
      <x:c r="F291" s="7" t="n">
        <x:v>46266</x:v>
      </x:c>
    </x:row>
    <x:row r="292" ht="22" customHeight="1">
      <x:c r="A292" s="8" t="n">
        <x:v>46059</x:v>
      </x:c>
      <x:c r="B292" s="7" t="str">
        <x:v>CA_EQ</x:v>
      </x:c>
      <x:c r="C292" s="7" t="n">
        <x:v>96.2274888561</x:v>
      </x:c>
      <x:c r="D292" s="7" t="n">
        <x:v>96.2274888561</x:v>
      </x:c>
      <x:c r="E292" s="7" t="str">
        <x:v>SYNTHETIC: seeded teaching dataset; not observed market data</x:v>
      </x:c>
      <x:c r="F292" s="7" t="n">
        <x:v>46266</x:v>
      </x:c>
    </x:row>
    <x:row r="293" ht="22" customHeight="1">
      <x:c r="A293" s="8" t="n">
        <x:v>46062</x:v>
      </x:c>
      <x:c r="B293" s="7" t="str">
        <x:v>CA_EQ</x:v>
      </x:c>
      <x:c r="C293" s="7" t="n">
        <x:v>97.5938992111</x:v>
      </x:c>
      <x:c r="D293" s="7" t="n">
        <x:v>97.5938992111</x:v>
      </x:c>
      <x:c r="E293" s="7" t="str">
        <x:v>SYNTHETIC: seeded teaching dataset; not observed market data</x:v>
      </x:c>
      <x:c r="F293" s="7" t="n">
        <x:v>46266</x:v>
      </x:c>
    </x:row>
    <x:row r="294" ht="22" customHeight="1">
      <x:c r="A294" s="8" t="n">
        <x:v>46063</x:v>
      </x:c>
      <x:c r="B294" s="7" t="str">
        <x:v>CA_EQ</x:v>
      </x:c>
      <x:c r="C294" s="7" t="n">
        <x:v>96.8032499101</x:v>
      </x:c>
      <x:c r="D294" s="7" t="n">
        <x:v>96.8032499101</x:v>
      </x:c>
      <x:c r="E294" s="7" t="str">
        <x:v>SYNTHETIC: seeded teaching dataset; not observed market data</x:v>
      </x:c>
      <x:c r="F294" s="7" t="n">
        <x:v>46266</x:v>
      </x:c>
    </x:row>
    <x:row r="295" ht="22" customHeight="1">
      <x:c r="A295" s="8" t="n">
        <x:v>46064</x:v>
      </x:c>
      <x:c r="B295" s="7" t="str">
        <x:v>CA_EQ</x:v>
      </x:c>
      <x:c r="C295" s="7" t="n">
        <x:v>96.0907349296</x:v>
      </x:c>
      <x:c r="D295" s="7" t="n">
        <x:v>96.0907349296</x:v>
      </x:c>
      <x:c r="E295" s="7" t="str">
        <x:v>SYNTHETIC: seeded teaching dataset; not observed market data</x:v>
      </x:c>
      <x:c r="F295" s="7" t="n">
        <x:v>46266</x:v>
      </x:c>
    </x:row>
    <x:row r="296" ht="22" customHeight="1">
      <x:c r="A296" s="8" t="n">
        <x:v>46065</x:v>
      </x:c>
      <x:c r="B296" s="7" t="str">
        <x:v>CA_EQ</x:v>
      </x:c>
      <x:c r="C296" s="7" t="n">
        <x:v>96.0527645288</x:v>
      </x:c>
      <x:c r="D296" s="7" t="n">
        <x:v>96.0527645288</x:v>
      </x:c>
      <x:c r="E296" s="7" t="str">
        <x:v>SYNTHETIC: seeded teaching dataset; not observed market data</x:v>
      </x:c>
      <x:c r="F296" s="7" t="n">
        <x:v>46266</x:v>
      </x:c>
    </x:row>
    <x:row r="297" ht="22" customHeight="1">
      <x:c r="A297" s="8" t="n">
        <x:v>46066</x:v>
      </x:c>
      <x:c r="B297" s="7" t="str">
        <x:v>CA_EQ</x:v>
      </x:c>
      <x:c r="C297" s="7" t="n">
        <x:v>96.5153736248</x:v>
      </x:c>
      <x:c r="D297" s="7" t="n">
        <x:v>96.5153736248</x:v>
      </x:c>
      <x:c r="E297" s="7" t="str">
        <x:v>SYNTHETIC: seeded teaching dataset; not observed market data</x:v>
      </x:c>
      <x:c r="F297" s="7" t="n">
        <x:v>46266</x:v>
      </x:c>
    </x:row>
    <x:row r="298" ht="22" customHeight="1">
      <x:c r="A298" s="8" t="n">
        <x:v>46069</x:v>
      </x:c>
      <x:c r="B298" s="7" t="str">
        <x:v>CA_EQ</x:v>
      </x:c>
      <x:c r="C298" s="7" t="n">
        <x:v>97.8130809506</x:v>
      </x:c>
      <x:c r="D298" s="7" t="n">
        <x:v>97.8130809506</x:v>
      </x:c>
      <x:c r="E298" s="7" t="str">
        <x:v>SYNTHETIC: seeded teaching dataset; not observed market data</x:v>
      </x:c>
      <x:c r="F298" s="7" t="n">
        <x:v>46266</x:v>
      </x:c>
    </x:row>
    <x:row r="299" ht="22" customHeight="1">
      <x:c r="A299" s="8" t="n">
        <x:v>46070</x:v>
      </x:c>
      <x:c r="B299" s="7" t="str">
        <x:v>CA_EQ</x:v>
      </x:c>
      <x:c r="C299" s="7" t="n">
        <x:v>99.8925348722</x:v>
      </x:c>
      <x:c r="D299" s="7" t="n">
        <x:v>99.8925348722</x:v>
      </x:c>
      <x:c r="E299" s="7" t="str">
        <x:v>SYNTHETIC: seeded teaching dataset; not observed market data</x:v>
      </x:c>
      <x:c r="F299" s="7" t="n">
        <x:v>46266</x:v>
      </x:c>
    </x:row>
    <x:row r="300" ht="22" customHeight="1">
      <x:c r="A300" s="8" t="n">
        <x:v>46071</x:v>
      </x:c>
      <x:c r="B300" s="7" t="str">
        <x:v>CA_EQ</x:v>
      </x:c>
      <x:c r="C300" s="7" t="n">
        <x:v>97.6677213546</x:v>
      </x:c>
      <x:c r="D300" s="7" t="n">
        <x:v>97.6677213546</x:v>
      </x:c>
      <x:c r="E300" s="7" t="str">
        <x:v>SYNTHETIC: seeded teaching dataset; not observed market data</x:v>
      </x:c>
      <x:c r="F300" s="7" t="n">
        <x:v>46266</x:v>
      </x:c>
    </x:row>
    <x:row r="301" ht="22" customHeight="1">
      <x:c r="A301" s="8" t="n">
        <x:v>46072</x:v>
      </x:c>
      <x:c r="B301" s="7" t="str">
        <x:v>CA_EQ</x:v>
      </x:c>
      <x:c r="C301" s="7" t="n">
        <x:v>98.3327762513</x:v>
      </x:c>
      <x:c r="D301" s="7" t="n">
        <x:v>98.3327762513</x:v>
      </x:c>
      <x:c r="E301" s="7" t="str">
        <x:v>SYNTHETIC: seeded teaching dataset; not observed market data</x:v>
      </x:c>
      <x:c r="F301" s="7" t="n">
        <x:v>46266</x:v>
      </x:c>
    </x:row>
    <x:row r="302" ht="22" customHeight="1">
      <x:c r="A302" s="8" t="n">
        <x:v>46073</x:v>
      </x:c>
      <x:c r="B302" s="7" t="str">
        <x:v>CA_EQ</x:v>
      </x:c>
      <x:c r="C302" s="7" t="n">
        <x:v>98.3337067236</x:v>
      </x:c>
      <x:c r="D302" s="7" t="n">
        <x:v>98.3337067236</x:v>
      </x:c>
      <x:c r="E302" s="7" t="str">
        <x:v>SYNTHETIC: seeded teaching dataset; not observed market data</x:v>
      </x:c>
      <x:c r="F302" s="7" t="n">
        <x:v>46266</x:v>
      </x:c>
    </x:row>
    <x:row r="303" ht="22" customHeight="1">
      <x:c r="A303" s="8" t="n">
        <x:v>46076</x:v>
      </x:c>
      <x:c r="B303" s="7" t="str">
        <x:v>CA_EQ</x:v>
      </x:c>
      <x:c r="C303" s="7" t="n">
        <x:v>98.6967855338</x:v>
      </x:c>
      <x:c r="D303" s="7" t="n">
        <x:v>98.6967855338</x:v>
      </x:c>
      <x:c r="E303" s="7" t="str">
        <x:v>SYNTHETIC: seeded teaching dataset; not observed market data</x:v>
      </x:c>
      <x:c r="F303" s="7" t="n">
        <x:v>46266</x:v>
      </x:c>
    </x:row>
    <x:row r="304" ht="22" customHeight="1">
      <x:c r="A304" s="8" t="n">
        <x:v>46077</x:v>
      </x:c>
      <x:c r="B304" s="7" t="str">
        <x:v>CA_EQ</x:v>
      </x:c>
      <x:c r="C304" s="7" t="n">
        <x:v>99.8289639825</x:v>
      </x:c>
      <x:c r="D304" s="7" t="n">
        <x:v>99.8289639825</x:v>
      </x:c>
      <x:c r="E304" s="7" t="str">
        <x:v>SYNTHETIC: seeded teaching dataset; not observed market data</x:v>
      </x:c>
      <x:c r="F304" s="7" t="n">
        <x:v>46266</x:v>
      </x:c>
    </x:row>
    <x:row r="305" ht="22" customHeight="1">
      <x:c r="A305" s="8" t="n">
        <x:v>46078</x:v>
      </x:c>
      <x:c r="B305" s="7" t="str">
        <x:v>CA_EQ</x:v>
      </x:c>
      <x:c r="C305" s="7" t="n">
        <x:v>99.8362245254</x:v>
      </x:c>
      <x:c r="D305" s="7" t="n">
        <x:v>99.8362245254</x:v>
      </x:c>
      <x:c r="E305" s="7" t="str">
        <x:v>SYNTHETIC: seeded teaching dataset; not observed market data</x:v>
      </x:c>
      <x:c r="F305" s="7" t="n">
        <x:v>46266</x:v>
      </x:c>
    </x:row>
    <x:row r="306" ht="22" customHeight="1">
      <x:c r="A306" s="8" t="n">
        <x:v>46079</x:v>
      </x:c>
      <x:c r="B306" s="7" t="str">
        <x:v>CA_EQ</x:v>
      </x:c>
      <x:c r="C306" s="7" t="n">
        <x:v>99.746272442</x:v>
      </x:c>
      <x:c r="D306" s="7" t="n">
        <x:v>99.746272442</x:v>
      </x:c>
      <x:c r="E306" s="7" t="str">
        <x:v>SYNTHETIC: seeded teaching dataset; not observed market data</x:v>
      </x:c>
      <x:c r="F306" s="7" t="n">
        <x:v>46266</x:v>
      </x:c>
    </x:row>
    <x:row r="307" ht="22" customHeight="1">
      <x:c r="A307" s="8" t="n">
        <x:v>46080</x:v>
      </x:c>
      <x:c r="B307" s="7" t="str">
        <x:v>CA_EQ</x:v>
      </x:c>
      <x:c r="C307" s="7" t="n">
        <x:v>98.3394434991</x:v>
      </x:c>
      <x:c r="D307" s="7" t="n">
        <x:v>98.3394434991</x:v>
      </x:c>
      <x:c r="E307" s="7" t="str">
        <x:v>SYNTHETIC: seeded teaching dataset; not observed market data</x:v>
      </x:c>
      <x:c r="F307" s="7" t="n">
        <x:v>46266</x:v>
      </x:c>
    </x:row>
    <x:row r="308" ht="22" customHeight="1">
      <x:c r="A308" s="8" t="n">
        <x:v>46083</x:v>
      </x:c>
      <x:c r="B308" s="7" t="str">
        <x:v>CA_EQ</x:v>
      </x:c>
      <x:c r="C308" s="7" t="n">
        <x:v>97.5973954121</x:v>
      </x:c>
      <x:c r="D308" s="7" t="n">
        <x:v>97.5973954121</x:v>
      </x:c>
      <x:c r="E308" s="7" t="str">
        <x:v>SYNTHETIC: seeded teaching dataset; not observed market data</x:v>
      </x:c>
      <x:c r="F308" s="7" t="n">
        <x:v>46266</x:v>
      </x:c>
    </x:row>
    <x:row r="309" ht="22" customHeight="1">
      <x:c r="A309" s="8" t="n">
        <x:v>46084</x:v>
      </x:c>
      <x:c r="B309" s="7" t="str">
        <x:v>CA_EQ</x:v>
      </x:c>
      <x:c r="C309" s="7" t="n">
        <x:v>98.4405132985</x:v>
      </x:c>
      <x:c r="D309" s="7" t="n">
        <x:v>98.4405132985</x:v>
      </x:c>
      <x:c r="E309" s="7" t="str">
        <x:v>SYNTHETIC: seeded teaching dataset; not observed market data</x:v>
      </x:c>
      <x:c r="F309" s="7" t="n">
        <x:v>46266</x:v>
      </x:c>
    </x:row>
    <x:row r="310" ht="22" customHeight="1">
      <x:c r="A310" s="8" t="n">
        <x:v>46085</x:v>
      </x:c>
      <x:c r="B310" s="7" t="str">
        <x:v>CA_EQ</x:v>
      </x:c>
      <x:c r="C310" s="7" t="n">
        <x:v>99.6784653409</x:v>
      </x:c>
      <x:c r="D310" s="7" t="n">
        <x:v>99.6784653409</x:v>
      </x:c>
      <x:c r="E310" s="7" t="str">
        <x:v>SYNTHETIC: seeded teaching dataset; not observed market data</x:v>
      </x:c>
      <x:c r="F310" s="7" t="n">
        <x:v>46266</x:v>
      </x:c>
    </x:row>
    <x:row r="311" ht="22" customHeight="1">
      <x:c r="A311" s="8" t="n">
        <x:v>46086</x:v>
      </x:c>
      <x:c r="B311" s="7" t="str">
        <x:v>CA_EQ</x:v>
      </x:c>
      <x:c r="C311" s="7" t="n">
        <x:v>99.0785107682</x:v>
      </x:c>
      <x:c r="D311" s="7" t="n">
        <x:v>99.0785107682</x:v>
      </x:c>
      <x:c r="E311" s="7" t="str">
        <x:v>SYNTHETIC: seeded teaching dataset; not observed market data</x:v>
      </x:c>
      <x:c r="F311" s="7" t="n">
        <x:v>46266</x:v>
      </x:c>
    </x:row>
    <x:row r="312" ht="22" customHeight="1">
      <x:c r="A312" s="8" t="n">
        <x:v>46087</x:v>
      </x:c>
      <x:c r="B312" s="7" t="str">
        <x:v>CA_EQ</x:v>
      </x:c>
      <x:c r="C312" s="7" t="n">
        <x:v>96.829471668</x:v>
      </x:c>
      <x:c r="D312" s="7" t="n">
        <x:v>96.829471668</x:v>
      </x:c>
      <x:c r="E312" s="7" t="str">
        <x:v>SYNTHETIC: seeded teaching dataset; not observed market data</x:v>
      </x:c>
      <x:c r="F312" s="7" t="n">
        <x:v>46266</x:v>
      </x:c>
    </x:row>
    <x:row r="313" ht="22" customHeight="1">
      <x:c r="A313" s="8" t="n">
        <x:v>46090</x:v>
      </x:c>
      <x:c r="B313" s="7" t="str">
        <x:v>CA_EQ</x:v>
      </x:c>
      <x:c r="C313" s="7" t="n">
        <x:v>97.535569324</x:v>
      </x:c>
      <x:c r="D313" s="7" t="n">
        <x:v>97.535569324</x:v>
      </x:c>
      <x:c r="E313" s="7" t="str">
        <x:v>SYNTHETIC: seeded teaching dataset; not observed market data</x:v>
      </x:c>
      <x:c r="F313" s="7" t="n">
        <x:v>46266</x:v>
      </x:c>
    </x:row>
    <x:row r="314" ht="22" customHeight="1">
      <x:c r="A314" s="8" t="n">
        <x:v>46091</x:v>
      </x:c>
      <x:c r="B314" s="7" t="str">
        <x:v>CA_EQ</x:v>
      </x:c>
      <x:c r="C314" s="7" t="n">
        <x:v>98.3880316326</x:v>
      </x:c>
      <x:c r="D314" s="7" t="n">
        <x:v>98.3880316326</x:v>
      </x:c>
      <x:c r="E314" s="7" t="str">
        <x:v>SYNTHETIC: seeded teaching dataset; not observed market data</x:v>
      </x:c>
      <x:c r="F314" s="7" t="n">
        <x:v>46266</x:v>
      </x:c>
    </x:row>
    <x:row r="315" ht="22" customHeight="1">
      <x:c r="A315" s="8" t="n">
        <x:v>46092</x:v>
      </x:c>
      <x:c r="B315" s="7" t="str">
        <x:v>CA_EQ</x:v>
      </x:c>
      <x:c r="C315" s="7" t="n">
        <x:v>98.5286226492</x:v>
      </x:c>
      <x:c r="D315" s="7" t="n">
        <x:v>98.5286226492</x:v>
      </x:c>
      <x:c r="E315" s="7" t="str">
        <x:v>SYNTHETIC: seeded teaching dataset; not observed market data</x:v>
      </x:c>
      <x:c r="F315" s="7" t="n">
        <x:v>46266</x:v>
      </x:c>
    </x:row>
    <x:row r="316" ht="22" customHeight="1">
      <x:c r="A316" s="8" t="n">
        <x:v>46093</x:v>
      </x:c>
      <x:c r="B316" s="7" t="str">
        <x:v>CA_EQ</x:v>
      </x:c>
      <x:c r="C316" s="7" t="n">
        <x:v>99.6567849422</x:v>
      </x:c>
      <x:c r="D316" s="7" t="n">
        <x:v>99.6567849422</x:v>
      </x:c>
      <x:c r="E316" s="7" t="str">
        <x:v>SYNTHETIC: seeded teaching dataset; not observed market data</x:v>
      </x:c>
      <x:c r="F316" s="7" t="n">
        <x:v>46266</x:v>
      </x:c>
    </x:row>
    <x:row r="317" ht="22" customHeight="1">
      <x:c r="A317" s="8" t="n">
        <x:v>46094</x:v>
      </x:c>
      <x:c r="B317" s="7" t="str">
        <x:v>CA_EQ</x:v>
      </x:c>
      <x:c r="C317" s="7" t="n">
        <x:v>99.0796263849</x:v>
      </x:c>
      <x:c r="D317" s="7" t="n">
        <x:v>99.0796263849</x:v>
      </x:c>
      <x:c r="E317" s="7" t="str">
        <x:v>SYNTHETIC: seeded teaching dataset; not observed market data</x:v>
      </x:c>
      <x:c r="F317" s="7" t="n">
        <x:v>46266</x:v>
      </x:c>
    </x:row>
    <x:row r="318" ht="22" customHeight="1">
      <x:c r="A318" s="8" t="n">
        <x:v>46097</x:v>
      </x:c>
      <x:c r="B318" s="7" t="str">
        <x:v>CA_EQ</x:v>
      </x:c>
      <x:c r="C318" s="7" t="n">
        <x:v>98.2610806725</x:v>
      </x:c>
      <x:c r="D318" s="7" t="n">
        <x:v>98.2610806725</x:v>
      </x:c>
      <x:c r="E318" s="7" t="str">
        <x:v>SYNTHETIC: seeded teaching dataset; not observed market data</x:v>
      </x:c>
      <x:c r="F318" s="7" t="n">
        <x:v>46266</x:v>
      </x:c>
    </x:row>
    <x:row r="319" ht="22" customHeight="1">
      <x:c r="A319" s="8" t="n">
        <x:v>46098</x:v>
      </x:c>
      <x:c r="B319" s="7" t="str">
        <x:v>CA_EQ</x:v>
      </x:c>
      <x:c r="C319" s="7" t="n">
        <x:v>98.8651617938</x:v>
      </x:c>
      <x:c r="D319" s="7" t="n">
        <x:v>98.8651617938</x:v>
      </x:c>
      <x:c r="E319" s="7" t="str">
        <x:v>SYNTHETIC: seeded teaching dataset; not observed market data</x:v>
      </x:c>
      <x:c r="F319" s="7" t="n">
        <x:v>46266</x:v>
      </x:c>
    </x:row>
    <x:row r="320" ht="22" customHeight="1">
      <x:c r="A320" s="8" t="n">
        <x:v>46099</x:v>
      </x:c>
      <x:c r="B320" s="7" t="str">
        <x:v>CA_EQ</x:v>
      </x:c>
      <x:c r="C320" s="7" t="n">
        <x:v>98.6932001647</x:v>
      </x:c>
      <x:c r="D320" s="7" t="n">
        <x:v>98.6932001647</x:v>
      </x:c>
      <x:c r="E320" s="7" t="str">
        <x:v>SYNTHETIC: seeded teaching dataset; not observed market data</x:v>
      </x:c>
      <x:c r="F320" s="7" t="n">
        <x:v>46266</x:v>
      </x:c>
    </x:row>
    <x:row r="321" ht="22" customHeight="1">
      <x:c r="A321" s="8" t="n">
        <x:v>46100</x:v>
      </x:c>
      <x:c r="B321" s="7" t="str">
        <x:v>CA_EQ</x:v>
      </x:c>
      <x:c r="C321" s="7" t="n">
        <x:v>99.6706476545</x:v>
      </x:c>
      <x:c r="D321" s="7" t="n">
        <x:v>99.6706476545</x:v>
      </x:c>
      <x:c r="E321" s="7" t="str">
        <x:v>SYNTHETIC: seeded teaching dataset; not observed market data</x:v>
      </x:c>
      <x:c r="F321" s="7" t="n">
        <x:v>46266</x:v>
      </x:c>
    </x:row>
    <x:row r="322" ht="22" customHeight="1">
      <x:c r="A322" s="8" t="n">
        <x:v>46101</x:v>
      </x:c>
      <x:c r="B322" s="7" t="str">
        <x:v>CA_EQ</x:v>
      </x:c>
      <x:c r="C322" s="7" t="n">
        <x:v>99.0958228692</x:v>
      </x:c>
      <x:c r="D322" s="7" t="n">
        <x:v>99.0958228692</x:v>
      </x:c>
      <x:c r="E322" s="7" t="str">
        <x:v>SYNTHETIC: seeded teaching dataset; not observed market data</x:v>
      </x:c>
      <x:c r="F322" s="7" t="n">
        <x:v>46266</x:v>
      </x:c>
    </x:row>
    <x:row r="323" ht="22" customHeight="1">
      <x:c r="A323" s="8" t="n">
        <x:v>46104</x:v>
      </x:c>
      <x:c r="B323" s="7" t="str">
        <x:v>CA_EQ</x:v>
      </x:c>
      <x:c r="C323" s="7" t="n">
        <x:v>98.5781061468</x:v>
      </x:c>
      <x:c r="D323" s="7" t="n">
        <x:v>98.5781061468</x:v>
      </x:c>
      <x:c r="E323" s="7" t="str">
        <x:v>SYNTHETIC: seeded teaching dataset; not observed market data</x:v>
      </x:c>
      <x:c r="F323" s="7" t="n">
        <x:v>46266</x:v>
      </x:c>
    </x:row>
    <x:row r="324" ht="22" customHeight="1">
      <x:c r="A324" s="8" t="n">
        <x:v>46105</x:v>
      </x:c>
      <x:c r="B324" s="7" t="str">
        <x:v>CA_EQ</x:v>
      </x:c>
      <x:c r="C324" s="7" t="n">
        <x:v>100.9544450017</x:v>
      </x:c>
      <x:c r="D324" s="7" t="n">
        <x:v>100.9544450017</x:v>
      </x:c>
      <x:c r="E324" s="7" t="str">
        <x:v>SYNTHETIC: seeded teaching dataset; not observed market data</x:v>
      </x:c>
      <x:c r="F324" s="7" t="n">
        <x:v>46266</x:v>
      </x:c>
    </x:row>
    <x:row r="325" ht="22" customHeight="1">
      <x:c r="A325" s="8" t="n">
        <x:v>46106</x:v>
      </x:c>
      <x:c r="B325" s="7" t="str">
        <x:v>CA_EQ</x:v>
      </x:c>
      <x:c r="C325" s="7" t="n">
        <x:v>103.3854183711</x:v>
      </x:c>
      <x:c r="D325" s="7" t="n">
        <x:v>103.3854183711</x:v>
      </x:c>
      <x:c r="E325" s="7" t="str">
        <x:v>SYNTHETIC: seeded teaching dataset; not observed market data</x:v>
      </x:c>
      <x:c r="F325" s="7" t="n">
        <x:v>46266</x:v>
      </x:c>
    </x:row>
    <x:row r="326" ht="22" customHeight="1">
      <x:c r="A326" s="8" t="n">
        <x:v>46107</x:v>
      </x:c>
      <x:c r="B326" s="7" t="str">
        <x:v>CA_EQ</x:v>
      </x:c>
      <x:c r="C326" s="7" t="n">
        <x:v>103.0624689802</x:v>
      </x:c>
      <x:c r="D326" s="7" t="n">
        <x:v>103.0624689802</x:v>
      </x:c>
      <x:c r="E326" s="7" t="str">
        <x:v>SYNTHETIC: seeded teaching dataset; not observed market data</x:v>
      </x:c>
      <x:c r="F326" s="7" t="n">
        <x:v>46266</x:v>
      </x:c>
    </x:row>
    <x:row r="327" ht="22" customHeight="1">
      <x:c r="A327" s="8" t="n">
        <x:v>46108</x:v>
      </x:c>
      <x:c r="B327" s="7" t="str">
        <x:v>CA_EQ</x:v>
      </x:c>
      <x:c r="C327" s="7" t="n">
        <x:v>103.3303102053</x:v>
      </x:c>
      <x:c r="D327" s="7" t="n">
        <x:v>103.3303102053</x:v>
      </x:c>
      <x:c r="E327" s="7" t="str">
        <x:v>SYNTHETIC: seeded teaching dataset; not observed market data</x:v>
      </x:c>
      <x:c r="F327" s="7" t="n">
        <x:v>46266</x:v>
      </x:c>
    </x:row>
    <x:row r="328" ht="22" customHeight="1">
      <x:c r="A328" s="8" t="n">
        <x:v>46111</x:v>
      </x:c>
      <x:c r="B328" s="7" t="str">
        <x:v>CA_EQ</x:v>
      </x:c>
      <x:c r="C328" s="7" t="n">
        <x:v>102.1723705433</x:v>
      </x:c>
      <x:c r="D328" s="7" t="n">
        <x:v>102.1723705433</x:v>
      </x:c>
      <x:c r="E328" s="7" t="str">
        <x:v>SYNTHETIC: seeded teaching dataset; not observed market data</x:v>
      </x:c>
      <x:c r="F328" s="7" t="n">
        <x:v>46266</x:v>
      </x:c>
    </x:row>
    <x:row r="329" ht="22" customHeight="1">
      <x:c r="A329" s="8" t="n">
        <x:v>46112</x:v>
      </x:c>
      <x:c r="B329" s="7" t="str">
        <x:v>CA_EQ</x:v>
      </x:c>
      <x:c r="C329" s="7" t="n">
        <x:v>101.9445106442</x:v>
      </x:c>
      <x:c r="D329" s="7" t="n">
        <x:v>101.9445106442</x:v>
      </x:c>
      <x:c r="E329" s="7" t="str">
        <x:v>SYNTHETIC: seeded teaching dataset; not observed market data</x:v>
      </x:c>
      <x:c r="F329" s="7" t="n">
        <x:v>46266</x:v>
      </x:c>
    </x:row>
    <x:row r="330" ht="22" customHeight="1">
      <x:c r="A330" s="8" t="n">
        <x:v>46113</x:v>
      </x:c>
      <x:c r="B330" s="7" t="str">
        <x:v>CA_EQ</x:v>
      </x:c>
      <x:c r="C330" s="7" t="n">
        <x:v>100.9944005815</x:v>
      </x:c>
      <x:c r="D330" s="7" t="n">
        <x:v>100.9944005815</x:v>
      </x:c>
      <x:c r="E330" s="7" t="str">
        <x:v>SYNTHETIC: seeded teaching dataset; not observed market data</x:v>
      </x:c>
      <x:c r="F330" s="7" t="n">
        <x:v>46266</x:v>
      </x:c>
    </x:row>
    <x:row r="331" ht="22" customHeight="1">
      <x:c r="A331" s="8" t="n">
        <x:v>46114</x:v>
      </x:c>
      <x:c r="B331" s="7" t="str">
        <x:v>CA_EQ</x:v>
      </x:c>
      <x:c r="C331" s="7" t="n">
        <x:v>103.7984269225</x:v>
      </x:c>
      <x:c r="D331" s="7" t="n">
        <x:v>103.7984269225</x:v>
      </x:c>
      <x:c r="E331" s="7" t="str">
        <x:v>SYNTHETIC: seeded teaching dataset; not observed market data</x:v>
      </x:c>
      <x:c r="F331" s="7" t="n">
        <x:v>46266</x:v>
      </x:c>
    </x:row>
    <x:row r="332" ht="22" customHeight="1">
      <x:c r="A332" s="8" t="n">
        <x:v>46115</x:v>
      </x:c>
      <x:c r="B332" s="7" t="str">
        <x:v>CA_EQ</x:v>
      </x:c>
      <x:c r="C332" s="7" t="n">
        <x:v>102.882722281</x:v>
      </x:c>
      <x:c r="D332" s="7" t="n">
        <x:v>102.882722281</x:v>
      </x:c>
      <x:c r="E332" s="7" t="str">
        <x:v>SYNTHETIC: seeded teaching dataset; not observed market data</x:v>
      </x:c>
      <x:c r="F332" s="7" t="n">
        <x:v>46266</x:v>
      </x:c>
    </x:row>
    <x:row r="333" ht="22" customHeight="1">
      <x:c r="A333" s="8" t="n">
        <x:v>46118</x:v>
      </x:c>
      <x:c r="B333" s="7" t="str">
        <x:v>CA_EQ</x:v>
      </x:c>
      <x:c r="C333" s="7" t="n">
        <x:v>102.3487448329</x:v>
      </x:c>
      <x:c r="D333" s="7" t="n">
        <x:v>102.3487448329</x:v>
      </x:c>
      <x:c r="E333" s="7" t="str">
        <x:v>SYNTHETIC: seeded teaching dataset; not observed market data</x:v>
      </x:c>
      <x:c r="F333" s="7" t="n">
        <x:v>46266</x:v>
      </x:c>
    </x:row>
    <x:row r="334" ht="22" customHeight="1">
      <x:c r="A334" s="8" t="n">
        <x:v>46119</x:v>
      </x:c>
      <x:c r="B334" s="7" t="str">
        <x:v>CA_EQ</x:v>
      </x:c>
      <x:c r="C334" s="7" t="n">
        <x:v>102.7712609985</x:v>
      </x:c>
      <x:c r="D334" s="7" t="n">
        <x:v>102.7712609985</x:v>
      </x:c>
      <x:c r="E334" s="7" t="str">
        <x:v>SYNTHETIC: seeded teaching dataset; not observed market data</x:v>
      </x:c>
      <x:c r="F334" s="7" t="n">
        <x:v>46266</x:v>
      </x:c>
    </x:row>
    <x:row r="335" ht="22" customHeight="1">
      <x:c r="A335" s="8" t="n">
        <x:v>46120</x:v>
      </x:c>
      <x:c r="B335" s="7" t="str">
        <x:v>CA_EQ</x:v>
      </x:c>
      <x:c r="C335" s="7" t="n">
        <x:v>102.7330964583</x:v>
      </x:c>
      <x:c r="D335" s="7" t="n">
        <x:v>102.7330964583</x:v>
      </x:c>
      <x:c r="E335" s="7" t="str">
        <x:v>SYNTHETIC: seeded teaching dataset; not observed market data</x:v>
      </x:c>
      <x:c r="F335" s="7" t="n">
        <x:v>46266</x:v>
      </x:c>
    </x:row>
    <x:row r="336" ht="22" customHeight="1">
      <x:c r="A336" s="8" t="n">
        <x:v>46121</x:v>
      </x:c>
      <x:c r="B336" s="7" t="str">
        <x:v>CA_EQ</x:v>
      </x:c>
      <x:c r="C336" s="7" t="n">
        <x:v>102.772941875</x:v>
      </x:c>
      <x:c r="D336" s="7" t="n">
        <x:v>102.772941875</x:v>
      </x:c>
      <x:c r="E336" s="7" t="str">
        <x:v>SYNTHETIC: seeded teaching dataset; not observed market data</x:v>
      </x:c>
      <x:c r="F336" s="7" t="n">
        <x:v>46266</x:v>
      </x:c>
    </x:row>
    <x:row r="337" ht="22" customHeight="1">
      <x:c r="A337" s="8" t="n">
        <x:v>46122</x:v>
      </x:c>
      <x:c r="B337" s="7" t="str">
        <x:v>CA_EQ</x:v>
      </x:c>
      <x:c r="C337" s="7" t="n">
        <x:v>103.3503494342</x:v>
      </x:c>
      <x:c r="D337" s="7" t="n">
        <x:v>103.3503494342</x:v>
      </x:c>
      <x:c r="E337" s="7" t="str">
        <x:v>SYNTHETIC: seeded teaching dataset; not observed market data</x:v>
      </x:c>
      <x:c r="F337" s="7" t="n">
        <x:v>46266</x:v>
      </x:c>
    </x:row>
    <x:row r="338" ht="22" customHeight="1">
      <x:c r="A338" s="8" t="n">
        <x:v>46125</x:v>
      </x:c>
      <x:c r="B338" s="7" t="str">
        <x:v>CA_EQ</x:v>
      </x:c>
      <x:c r="C338" s="7" t="n">
        <x:v>104.6969703053</x:v>
      </x:c>
      <x:c r="D338" s="7" t="n">
        <x:v>104.6969703053</x:v>
      </x:c>
      <x:c r="E338" s="7" t="str">
        <x:v>SYNTHETIC: seeded teaching dataset; not observed market data</x:v>
      </x:c>
      <x:c r="F338" s="7" t="n">
        <x:v>46266</x:v>
      </x:c>
    </x:row>
    <x:row r="339" ht="22" customHeight="1">
      <x:c r="A339" s="8" t="n">
        <x:v>46126</x:v>
      </x:c>
      <x:c r="B339" s="7" t="str">
        <x:v>CA_EQ</x:v>
      </x:c>
      <x:c r="C339" s="7" t="n">
        <x:v>106.0146957147</x:v>
      </x:c>
      <x:c r="D339" s="7" t="n">
        <x:v>106.0146957147</x:v>
      </x:c>
      <x:c r="E339" s="7" t="str">
        <x:v>SYNTHETIC: seeded teaching dataset; not observed market data</x:v>
      </x:c>
      <x:c r="F339" s="7" t="n">
        <x:v>46266</x:v>
      </x:c>
    </x:row>
    <x:row r="340" ht="22" customHeight="1">
      <x:c r="A340" s="8" t="n">
        <x:v>46127</x:v>
      </x:c>
      <x:c r="B340" s="7" t="str">
        <x:v>CA_EQ</x:v>
      </x:c>
      <x:c r="C340" s="7" t="n">
        <x:v>107.4053360115</x:v>
      </x:c>
      <x:c r="D340" s="7" t="n">
        <x:v>107.4053360115</x:v>
      </x:c>
      <x:c r="E340" s="7" t="str">
        <x:v>SYNTHETIC: seeded teaching dataset; not observed market data</x:v>
      </x:c>
      <x:c r="F340" s="7" t="n">
        <x:v>46266</x:v>
      </x:c>
    </x:row>
    <x:row r="341" ht="22" customHeight="1">
      <x:c r="A341" s="8" t="n">
        <x:v>46128</x:v>
      </x:c>
      <x:c r="B341" s="7" t="str">
        <x:v>CA_EQ</x:v>
      </x:c>
      <x:c r="C341" s="7" t="n">
        <x:v>107.0985819791</x:v>
      </x:c>
      <x:c r="D341" s="7" t="n">
        <x:v>107.0985819791</x:v>
      </x:c>
      <x:c r="E341" s="7" t="str">
        <x:v>SYNTHETIC: seeded teaching dataset; not observed market data</x:v>
      </x:c>
      <x:c r="F341" s="7" t="n">
        <x:v>46266</x:v>
      </x:c>
    </x:row>
    <x:row r="342" ht="22" customHeight="1">
      <x:c r="A342" s="8" t="n">
        <x:v>46129</x:v>
      </x:c>
      <x:c r="B342" s="7" t="str">
        <x:v>CA_EQ</x:v>
      </x:c>
      <x:c r="C342" s="7" t="n">
        <x:v>108.6251410686</x:v>
      </x:c>
      <x:c r="D342" s="7" t="n">
        <x:v>108.6251410686</x:v>
      </x:c>
      <x:c r="E342" s="7" t="str">
        <x:v>SYNTHETIC: seeded teaching dataset; not observed market data</x:v>
      </x:c>
      <x:c r="F342" s="7" t="n">
        <x:v>46266</x:v>
      </x:c>
    </x:row>
    <x:row r="343" ht="22" customHeight="1">
      <x:c r="A343" s="8" t="n">
        <x:v>46132</x:v>
      </x:c>
      <x:c r="B343" s="7" t="str">
        <x:v>CA_EQ</x:v>
      </x:c>
      <x:c r="C343" s="7" t="n">
        <x:v>110.373868917</x:v>
      </x:c>
      <x:c r="D343" s="7" t="n">
        <x:v>110.373868917</x:v>
      </x:c>
      <x:c r="E343" s="7" t="str">
        <x:v>SYNTHETIC: seeded teaching dataset; not observed market data</x:v>
      </x:c>
      <x:c r="F343" s="7" t="n">
        <x:v>46266</x:v>
      </x:c>
    </x:row>
    <x:row r="344" ht="22" customHeight="1">
      <x:c r="A344" s="8" t="n">
        <x:v>46133</x:v>
      </x:c>
      <x:c r="B344" s="7" t="str">
        <x:v>CA_EQ</x:v>
      </x:c>
      <x:c r="C344" s="7" t="n">
        <x:v>110.1596865275</x:v>
      </x:c>
      <x:c r="D344" s="7" t="n">
        <x:v>110.1596865275</x:v>
      </x:c>
      <x:c r="E344" s="7" t="str">
        <x:v>SYNTHETIC: seeded teaching dataset; not observed market data</x:v>
      </x:c>
      <x:c r="F344" s="7" t="n">
        <x:v>46266</x:v>
      </x:c>
    </x:row>
    <x:row r="345" ht="22" customHeight="1">
      <x:c r="A345" s="8" t="n">
        <x:v>46134</x:v>
      </x:c>
      <x:c r="B345" s="7" t="str">
        <x:v>CA_EQ</x:v>
      </x:c>
      <x:c r="C345" s="7" t="n">
        <x:v>110.4727108275</x:v>
      </x:c>
      <x:c r="D345" s="7" t="n">
        <x:v>110.4727108275</x:v>
      </x:c>
      <x:c r="E345" s="7" t="str">
        <x:v>SYNTHETIC: seeded teaching dataset; not observed market data</x:v>
      </x:c>
      <x:c r="F345" s="7" t="n">
        <x:v>46266</x:v>
      </x:c>
    </x:row>
    <x:row r="346" ht="22" customHeight="1">
      <x:c r="A346" s="8" t="n">
        <x:v>46135</x:v>
      </x:c>
      <x:c r="B346" s="7" t="str">
        <x:v>CA_EQ</x:v>
      </x:c>
      <x:c r="C346" s="7" t="n">
        <x:v>109.2127639102</x:v>
      </x:c>
      <x:c r="D346" s="7" t="n">
        <x:v>109.2127639102</x:v>
      </x:c>
      <x:c r="E346" s="7" t="str">
        <x:v>SYNTHETIC: seeded teaching dataset; not observed market data</x:v>
      </x:c>
      <x:c r="F346" s="7" t="n">
        <x:v>46266</x:v>
      </x:c>
    </x:row>
    <x:row r="347" ht="22" customHeight="1">
      <x:c r="A347" s="8" t="n">
        <x:v>46136</x:v>
      </x:c>
      <x:c r="B347" s="7" t="str">
        <x:v>CA_EQ</x:v>
      </x:c>
      <x:c r="C347" s="7" t="n">
        <x:v>111.3360494032</x:v>
      </x:c>
      <x:c r="D347" s="7" t="n">
        <x:v>111.3360494032</x:v>
      </x:c>
      <x:c r="E347" s="7" t="str">
        <x:v>SYNTHETIC: seeded teaching dataset; not observed market data</x:v>
      </x:c>
      <x:c r="F347" s="7" t="n">
        <x:v>46266</x:v>
      </x:c>
    </x:row>
    <x:row r="348" ht="22" customHeight="1">
      <x:c r="A348" s="8" t="n">
        <x:v>46139</x:v>
      </x:c>
      <x:c r="B348" s="7" t="str">
        <x:v>CA_EQ</x:v>
      </x:c>
      <x:c r="C348" s="7" t="n">
        <x:v>110.4546121518</x:v>
      </x:c>
      <x:c r="D348" s="7" t="n">
        <x:v>110.4546121518</x:v>
      </x:c>
      <x:c r="E348" s="7" t="str">
        <x:v>SYNTHETIC: seeded teaching dataset; not observed market data</x:v>
      </x:c>
      <x:c r="F348" s="7" t="n">
        <x:v>46266</x:v>
      </x:c>
    </x:row>
    <x:row r="349" ht="22" customHeight="1">
      <x:c r="A349" s="8" t="n">
        <x:v>46140</x:v>
      </x:c>
      <x:c r="B349" s="7" t="str">
        <x:v>CA_EQ</x:v>
      </x:c>
      <x:c r="C349" s="7" t="n">
        <x:v>108.9251370515</x:v>
      </x:c>
      <x:c r="D349" s="7" t="n">
        <x:v>108.9251370515</x:v>
      </x:c>
      <x:c r="E349" s="7" t="str">
        <x:v>SYNTHETIC: seeded teaching dataset; not observed market data</x:v>
      </x:c>
      <x:c r="F349" s="7" t="n">
        <x:v>46266</x:v>
      </x:c>
    </x:row>
    <x:row r="350" ht="22" customHeight="1">
      <x:c r="A350" s="8" t="n">
        <x:v>46141</x:v>
      </x:c>
      <x:c r="B350" s="7" t="str">
        <x:v>CA_EQ</x:v>
      </x:c>
      <x:c r="C350" s="7" t="n">
        <x:v>106.4579548153</x:v>
      </x:c>
      <x:c r="D350" s="7" t="n">
        <x:v>106.4579548153</x:v>
      </x:c>
      <x:c r="E350" s="7" t="str">
        <x:v>SYNTHETIC: seeded teaching dataset; not observed market data</x:v>
      </x:c>
      <x:c r="F350" s="7" t="n">
        <x:v>46266</x:v>
      </x:c>
    </x:row>
    <x:row r="351" ht="22" customHeight="1">
      <x:c r="A351" s="8" t="n">
        <x:v>46142</x:v>
      </x:c>
      <x:c r="B351" s="7" t="str">
        <x:v>CA_EQ</x:v>
      </x:c>
      <x:c r="C351" s="7" t="n">
        <x:v>105.2745097108</x:v>
      </x:c>
      <x:c r="D351" s="7" t="n">
        <x:v>105.2745097108</x:v>
      </x:c>
      <x:c r="E351" s="7" t="str">
        <x:v>SYNTHETIC: seeded teaching dataset; not observed market data</x:v>
      </x:c>
      <x:c r="F351" s="7" t="n">
        <x:v>46266</x:v>
      </x:c>
    </x:row>
    <x:row r="352" ht="22" customHeight="1">
      <x:c r="A352" s="8" t="n">
        <x:v>46143</x:v>
      </x:c>
      <x:c r="B352" s="7" t="str">
        <x:v>CA_EQ</x:v>
      </x:c>
      <x:c r="C352" s="7" t="n">
        <x:v>103.807679021</x:v>
      </x:c>
      <x:c r="D352" s="7" t="n">
        <x:v>103.807679021</x:v>
      </x:c>
      <x:c r="E352" s="7" t="str">
        <x:v>SYNTHETIC: seeded teaching dataset; not observed market data</x:v>
      </x:c>
      <x:c r="F352" s="7" t="n">
        <x:v>46266</x:v>
      </x:c>
    </x:row>
    <x:row r="353" ht="22" customHeight="1">
      <x:c r="A353" s="8" t="n">
        <x:v>46146</x:v>
      </x:c>
      <x:c r="B353" s="7" t="str">
        <x:v>CA_EQ</x:v>
      </x:c>
      <x:c r="C353" s="7" t="n">
        <x:v>102.5512085538</x:v>
      </x:c>
      <x:c r="D353" s="7" t="n">
        <x:v>102.5512085538</x:v>
      </x:c>
      <x:c r="E353" s="7" t="str">
        <x:v>SYNTHETIC: seeded teaching dataset; not observed market data</x:v>
      </x:c>
      <x:c r="F353" s="7" t="n">
        <x:v>46266</x:v>
      </x:c>
    </x:row>
    <x:row r="354" ht="22" customHeight="1">
      <x:c r="A354" s="8" t="n">
        <x:v>46147</x:v>
      </x:c>
      <x:c r="B354" s="7" t="str">
        <x:v>CA_EQ</x:v>
      </x:c>
      <x:c r="C354" s="7" t="n">
        <x:v>101.4950290301</x:v>
      </x:c>
      <x:c r="D354" s="7" t="n">
        <x:v>101.4950290301</x:v>
      </x:c>
      <x:c r="E354" s="7" t="str">
        <x:v>SYNTHETIC: seeded teaching dataset; not observed market data</x:v>
      </x:c>
      <x:c r="F354" s="7" t="n">
        <x:v>46266</x:v>
      </x:c>
    </x:row>
    <x:row r="355" ht="22" customHeight="1">
      <x:c r="A355" s="8" t="n">
        <x:v>46148</x:v>
      </x:c>
      <x:c r="B355" s="7" t="str">
        <x:v>CA_EQ</x:v>
      </x:c>
      <x:c r="C355" s="7" t="n">
        <x:v>99.1428549448</x:v>
      </x:c>
      <x:c r="D355" s="7" t="n">
        <x:v>99.1428549448</x:v>
      </x:c>
      <x:c r="E355" s="7" t="str">
        <x:v>SYNTHETIC: seeded teaching dataset; not observed market data</x:v>
      </x:c>
      <x:c r="F355" s="7" t="n">
        <x:v>46266</x:v>
      </x:c>
    </x:row>
    <x:row r="356" ht="22" customHeight="1">
      <x:c r="A356" s="8" t="n">
        <x:v>46149</x:v>
      </x:c>
      <x:c r="B356" s="7" t="str">
        <x:v>CA_EQ</x:v>
      </x:c>
      <x:c r="C356" s="7" t="n">
        <x:v>100.0117960132</x:v>
      </x:c>
      <x:c r="D356" s="7" t="n">
        <x:v>100.0117960132</x:v>
      </x:c>
      <x:c r="E356" s="7" t="str">
        <x:v>SYNTHETIC: seeded teaching dataset; not observed market data</x:v>
      </x:c>
      <x:c r="F356" s="7" t="n">
        <x:v>46266</x:v>
      </x:c>
    </x:row>
    <x:row r="357" ht="22" customHeight="1">
      <x:c r="A357" s="8" t="n">
        <x:v>46150</x:v>
      </x:c>
      <x:c r="B357" s="7" t="str">
        <x:v>CA_EQ</x:v>
      </x:c>
      <x:c r="C357" s="7" t="n">
        <x:v>100.1859321852</x:v>
      </x:c>
      <x:c r="D357" s="7" t="n">
        <x:v>100.1859321852</x:v>
      </x:c>
      <x:c r="E357" s="7" t="str">
        <x:v>SYNTHETIC: seeded teaching dataset; not observed market data</x:v>
      </x:c>
      <x:c r="F357" s="7" t="n">
        <x:v>46266</x:v>
      </x:c>
    </x:row>
    <x:row r="358" ht="22" customHeight="1">
      <x:c r="A358" s="8" t="n">
        <x:v>46153</x:v>
      </x:c>
      <x:c r="B358" s="7" t="str">
        <x:v>CA_EQ</x:v>
      </x:c>
      <x:c r="C358" s="7" t="n">
        <x:v>101.7328989595</x:v>
      </x:c>
      <x:c r="D358" s="7" t="n">
        <x:v>101.7328989595</x:v>
      </x:c>
      <x:c r="E358" s="7" t="str">
        <x:v>SYNTHETIC: seeded teaching dataset; not observed market data</x:v>
      </x:c>
      <x:c r="F358" s="7" t="n">
        <x:v>46266</x:v>
      </x:c>
    </x:row>
    <x:row r="359" ht="22" customHeight="1">
      <x:c r="A359" s="8" t="n">
        <x:v>46154</x:v>
      </x:c>
      <x:c r="B359" s="7" t="str">
        <x:v>CA_EQ</x:v>
      </x:c>
      <x:c r="C359" s="7" t="n">
        <x:v>101.1435267106</x:v>
      </x:c>
      <x:c r="D359" s="7" t="n">
        <x:v>101.1435267106</x:v>
      </x:c>
      <x:c r="E359" s="7" t="str">
        <x:v>SYNTHETIC: seeded teaching dataset; not observed market data</x:v>
      </x:c>
      <x:c r="F359" s="7" t="n">
        <x:v>46266</x:v>
      </x:c>
    </x:row>
    <x:row r="360" ht="22" customHeight="1">
      <x:c r="A360" s="8" t="n">
        <x:v>46155</x:v>
      </x:c>
      <x:c r="B360" s="7" t="str">
        <x:v>CA_EQ</x:v>
      </x:c>
      <x:c r="C360" s="7" t="n">
        <x:v>102.7528525478</x:v>
      </x:c>
      <x:c r="D360" s="7" t="n">
        <x:v>102.7528525478</x:v>
      </x:c>
      <x:c r="E360" s="7" t="str">
        <x:v>SYNTHETIC: seeded teaching dataset; not observed market data</x:v>
      </x:c>
      <x:c r="F360" s="7" t="n">
        <x:v>46266</x:v>
      </x:c>
    </x:row>
    <x:row r="361" ht="22" customHeight="1">
      <x:c r="A361" s="8" t="n">
        <x:v>46156</x:v>
      </x:c>
      <x:c r="B361" s="7" t="str">
        <x:v>CA_EQ</x:v>
      </x:c>
      <x:c r="C361" s="7" t="n">
        <x:v>103.1515719246</x:v>
      </x:c>
      <x:c r="D361" s="7" t="n">
        <x:v>103.1515719246</x:v>
      </x:c>
      <x:c r="E361" s="7" t="str">
        <x:v>SYNTHETIC: seeded teaching dataset; not observed market data</x:v>
      </x:c>
      <x:c r="F361" s="7" t="n">
        <x:v>46266</x:v>
      </x:c>
    </x:row>
    <x:row r="362" ht="22" customHeight="1">
      <x:c r="A362" s="8" t="n">
        <x:v>46157</x:v>
      </x:c>
      <x:c r="B362" s="7" t="str">
        <x:v>CA_EQ</x:v>
      </x:c>
      <x:c r="C362" s="7" t="n">
        <x:v>102.5830555914</x:v>
      </x:c>
      <x:c r="D362" s="7" t="n">
        <x:v>102.5830555914</x:v>
      </x:c>
      <x:c r="E362" s="7" t="str">
        <x:v>SYNTHETIC: seeded teaching dataset; not observed market data</x:v>
      </x:c>
      <x:c r="F362" s="7" t="n">
        <x:v>46266</x:v>
      </x:c>
    </x:row>
    <x:row r="363" ht="22" customHeight="1">
      <x:c r="A363" s="8" t="n">
        <x:v>46160</x:v>
      </x:c>
      <x:c r="B363" s="7" t="str">
        <x:v>CA_EQ</x:v>
      </x:c>
      <x:c r="C363" s="7" t="n">
        <x:v>105.009613512</x:v>
      </x:c>
      <x:c r="D363" s="7" t="n">
        <x:v>105.009613512</x:v>
      </x:c>
      <x:c r="E363" s="7" t="str">
        <x:v>SYNTHETIC: seeded teaching dataset; not observed market data</x:v>
      </x:c>
      <x:c r="F363" s="7" t="n">
        <x:v>46266</x:v>
      </x:c>
    </x:row>
    <x:row r="364" ht="22" customHeight="1">
      <x:c r="A364" s="8" t="n">
        <x:v>46161</x:v>
      </x:c>
      <x:c r="B364" s="7" t="str">
        <x:v>CA_EQ</x:v>
      </x:c>
      <x:c r="C364" s="7" t="n">
        <x:v>103.1542910704</x:v>
      </x:c>
      <x:c r="D364" s="7" t="n">
        <x:v>103.1542910704</x:v>
      </x:c>
      <x:c r="E364" s="7" t="str">
        <x:v>SYNTHETIC: seeded teaching dataset; not observed market data</x:v>
      </x:c>
      <x:c r="F364" s="7" t="n">
        <x:v>46266</x:v>
      </x:c>
    </x:row>
    <x:row r="365" ht="22" customHeight="1">
      <x:c r="A365" s="8" t="n">
        <x:v>46162</x:v>
      </x:c>
      <x:c r="B365" s="7" t="str">
        <x:v>CA_EQ</x:v>
      </x:c>
      <x:c r="C365" s="7" t="n">
        <x:v>103.7177962695</x:v>
      </x:c>
      <x:c r="D365" s="7" t="n">
        <x:v>103.7177962695</x:v>
      </x:c>
      <x:c r="E365" s="7" t="str">
        <x:v>SYNTHETIC: seeded teaching dataset; not observed market data</x:v>
      </x:c>
      <x:c r="F365" s="7" t="n">
        <x:v>46266</x:v>
      </x:c>
    </x:row>
    <x:row r="366" ht="22" customHeight="1">
      <x:c r="A366" s="8" t="n">
        <x:v>46163</x:v>
      </x:c>
      <x:c r="B366" s="7" t="str">
        <x:v>CA_EQ</x:v>
      </x:c>
      <x:c r="C366" s="7" t="n">
        <x:v>105.9440709016</x:v>
      </x:c>
      <x:c r="D366" s="7" t="n">
        <x:v>105.9440709016</x:v>
      </x:c>
      <x:c r="E366" s="7" t="str">
        <x:v>SYNTHETIC: seeded teaching dataset; not observed market data</x:v>
      </x:c>
      <x:c r="F366" s="7" t="n">
        <x:v>46266</x:v>
      </x:c>
    </x:row>
    <x:row r="367" ht="22" customHeight="1">
      <x:c r="A367" s="8" t="n">
        <x:v>46164</x:v>
      </x:c>
      <x:c r="B367" s="7" t="str">
        <x:v>CA_EQ</x:v>
      </x:c>
      <x:c r="C367" s="7" t="n">
        <x:v>105.0022644007</x:v>
      </x:c>
      <x:c r="D367" s="7" t="n">
        <x:v>105.0022644007</x:v>
      </x:c>
      <x:c r="E367" s="7" t="str">
        <x:v>SYNTHETIC: seeded teaching dataset; not observed market data</x:v>
      </x:c>
      <x:c r="F367" s="7" t="n">
        <x:v>46266</x:v>
      </x:c>
    </x:row>
    <x:row r="368" ht="22" customHeight="1">
      <x:c r="A368" s="8" t="n">
        <x:v>46167</x:v>
      </x:c>
      <x:c r="B368" s="7" t="str">
        <x:v>CA_EQ</x:v>
      </x:c>
      <x:c r="C368" s="7" t="n">
        <x:v>103.244593807</x:v>
      </x:c>
      <x:c r="D368" s="7" t="n">
        <x:v>103.244593807</x:v>
      </x:c>
      <x:c r="E368" s="7" t="str">
        <x:v>SYNTHETIC: seeded teaching dataset; not observed market data</x:v>
      </x:c>
      <x:c r="F368" s="7" t="n">
        <x:v>46266</x:v>
      </x:c>
    </x:row>
    <x:row r="369" ht="22" customHeight="1">
      <x:c r="A369" s="8" t="n">
        <x:v>46168</x:v>
      </x:c>
      <x:c r="B369" s="7" t="str">
        <x:v>CA_EQ</x:v>
      </x:c>
      <x:c r="C369" s="7" t="n">
        <x:v>104.810939336</x:v>
      </x:c>
      <x:c r="D369" s="7" t="n">
        <x:v>104.810939336</x:v>
      </x:c>
      <x:c r="E369" s="7" t="str">
        <x:v>SYNTHETIC: seeded teaching dataset; not observed market data</x:v>
      </x:c>
      <x:c r="F369" s="7" t="n">
        <x:v>46266</x:v>
      </x:c>
    </x:row>
    <x:row r="370" ht="22" customHeight="1">
      <x:c r="A370" s="8" t="n">
        <x:v>46169</x:v>
      </x:c>
      <x:c r="B370" s="7" t="str">
        <x:v>CA_EQ</x:v>
      </x:c>
      <x:c r="C370" s="7" t="n">
        <x:v>104.8450074648</x:v>
      </x:c>
      <x:c r="D370" s="7" t="n">
        <x:v>104.8450074648</x:v>
      </x:c>
      <x:c r="E370" s="7" t="str">
        <x:v>SYNTHETIC: seeded teaching dataset; not observed market data</x:v>
      </x:c>
      <x:c r="F370" s="7" t="n">
        <x:v>46266</x:v>
      </x:c>
    </x:row>
    <x:row r="371" ht="22" customHeight="1">
      <x:c r="A371" s="8" t="n">
        <x:v>46170</x:v>
      </x:c>
      <x:c r="B371" s="7" t="str">
        <x:v>CA_EQ</x:v>
      </x:c>
      <x:c r="C371" s="7" t="n">
        <x:v>106.4028008211</x:v>
      </x:c>
      <x:c r="D371" s="7" t="n">
        <x:v>106.4028008211</x:v>
      </x:c>
      <x:c r="E371" s="7" t="str">
        <x:v>SYNTHETIC: seeded teaching dataset; not observed market data</x:v>
      </x:c>
      <x:c r="F371" s="7" t="n">
        <x:v>46266</x:v>
      </x:c>
    </x:row>
    <x:row r="372" ht="22" customHeight="1">
      <x:c r="A372" s="8" t="n">
        <x:v>46171</x:v>
      </x:c>
      <x:c r="B372" s="7" t="str">
        <x:v>CA_EQ</x:v>
      </x:c>
      <x:c r="C372" s="7" t="n">
        <x:v>106.2122668791</x:v>
      </x:c>
      <x:c r="D372" s="7" t="n">
        <x:v>106.2122668791</x:v>
      </x:c>
      <x:c r="E372" s="7" t="str">
        <x:v>SYNTHETIC: seeded teaching dataset; not observed market data</x:v>
      </x:c>
      <x:c r="F372" s="7" t="n">
        <x:v>46266</x:v>
      </x:c>
    </x:row>
    <x:row r="373" ht="22" customHeight="1">
      <x:c r="A373" s="8" t="n">
        <x:v>46174</x:v>
      </x:c>
      <x:c r="B373" s="7" t="str">
        <x:v>CA_EQ</x:v>
      </x:c>
      <x:c r="C373" s="7" t="n">
        <x:v>104.2638151793</x:v>
      </x:c>
      <x:c r="D373" s="7" t="n">
        <x:v>104.2638151793</x:v>
      </x:c>
      <x:c r="E373" s="7" t="str">
        <x:v>SYNTHETIC: seeded teaching dataset; not observed market data</x:v>
      </x:c>
      <x:c r="F373" s="7" t="n">
        <x:v>46266</x:v>
      </x:c>
    </x:row>
    <x:row r="374" ht="22" customHeight="1">
      <x:c r="A374" s="8" t="n">
        <x:v>46175</x:v>
      </x:c>
      <x:c r="B374" s="7" t="str">
        <x:v>CA_EQ</x:v>
      </x:c>
      <x:c r="C374" s="7" t="n">
        <x:v>104.4527903251</x:v>
      </x:c>
      <x:c r="D374" s="7" t="n">
        <x:v>104.4527903251</x:v>
      </x:c>
      <x:c r="E374" s="7" t="str">
        <x:v>SYNTHETIC: seeded teaching dataset; not observed market data</x:v>
      </x:c>
      <x:c r="F374" s="7" t="n">
        <x:v>46266</x:v>
      </x:c>
    </x:row>
    <x:row r="375" ht="22" customHeight="1">
      <x:c r="A375" s="8" t="n">
        <x:v>46176</x:v>
      </x:c>
      <x:c r="B375" s="7" t="str">
        <x:v>CA_EQ</x:v>
      </x:c>
      <x:c r="C375" s="7" t="n">
        <x:v>105.513595277</x:v>
      </x:c>
      <x:c r="D375" s="7" t="n">
        <x:v>105.513595277</x:v>
      </x:c>
      <x:c r="E375" s="7" t="str">
        <x:v>SYNTHETIC: seeded teaching dataset; not observed market data</x:v>
      </x:c>
      <x:c r="F375" s="7" t="n">
        <x:v>46266</x:v>
      </x:c>
    </x:row>
    <x:row r="376" ht="22" customHeight="1">
      <x:c r="A376" s="8" t="n">
        <x:v>46177</x:v>
      </x:c>
      <x:c r="B376" s="7" t="str">
        <x:v>CA_EQ</x:v>
      </x:c>
      <x:c r="C376" s="7" t="n">
        <x:v>106.374228803</x:v>
      </x:c>
      <x:c r="D376" s="7" t="n">
        <x:v>106.374228803</x:v>
      </x:c>
      <x:c r="E376" s="7" t="str">
        <x:v>SYNTHETIC: seeded teaching dataset; not observed market data</x:v>
      </x:c>
      <x:c r="F376" s="7" t="n">
        <x:v>46266</x:v>
      </x:c>
    </x:row>
    <x:row r="377" ht="22" customHeight="1">
      <x:c r="A377" s="8" t="n">
        <x:v>46178</x:v>
      </x:c>
      <x:c r="B377" s="7" t="str">
        <x:v>CA_EQ</x:v>
      </x:c>
      <x:c r="C377" s="7" t="n">
        <x:v>105.989766246</x:v>
      </x:c>
      <x:c r="D377" s="7" t="n">
        <x:v>105.989766246</x:v>
      </x:c>
      <x:c r="E377" s="7" t="str">
        <x:v>SYNTHETIC: seeded teaching dataset; not observed market data</x:v>
      </x:c>
      <x:c r="F377" s="7" t="n">
        <x:v>46266</x:v>
      </x:c>
    </x:row>
    <x:row r="378" ht="22" customHeight="1">
      <x:c r="A378" s="8" t="n">
        <x:v>46181</x:v>
      </x:c>
      <x:c r="B378" s="7" t="str">
        <x:v>CA_EQ</x:v>
      </x:c>
      <x:c r="C378" s="7" t="n">
        <x:v>103.6615671197</x:v>
      </x:c>
      <x:c r="D378" s="7" t="n">
        <x:v>103.6615671197</x:v>
      </x:c>
      <x:c r="E378" s="7" t="str">
        <x:v>SYNTHETIC: seeded teaching dataset; not observed market data</x:v>
      </x:c>
      <x:c r="F378" s="7" t="n">
        <x:v>46266</x:v>
      </x:c>
    </x:row>
    <x:row r="379" ht="22" customHeight="1">
      <x:c r="A379" s="8" t="n">
        <x:v>46182</x:v>
      </x:c>
      <x:c r="B379" s="7" t="str">
        <x:v>CA_EQ</x:v>
      </x:c>
      <x:c r="C379" s="7" t="n">
        <x:v>102.6315999971</x:v>
      </x:c>
      <x:c r="D379" s="7" t="n">
        <x:v>102.6315999971</x:v>
      </x:c>
      <x:c r="E379" s="7" t="str">
        <x:v>SYNTHETIC: seeded teaching dataset; not observed market data</x:v>
      </x:c>
      <x:c r="F379" s="7" t="n">
        <x:v>46266</x:v>
      </x:c>
    </x:row>
    <x:row r="380" ht="22" customHeight="1">
      <x:c r="A380" s="8" t="n">
        <x:v>46183</x:v>
      </x:c>
      <x:c r="B380" s="7" t="str">
        <x:v>CA_EQ</x:v>
      </x:c>
      <x:c r="C380" s="7" t="n">
        <x:v>100.7873247077</x:v>
      </x:c>
      <x:c r="D380" s="7" t="n">
        <x:v>100.7873247077</x:v>
      </x:c>
      <x:c r="E380" s="7" t="str">
        <x:v>SYNTHETIC: seeded teaching dataset; not observed market data</x:v>
      </x:c>
      <x:c r="F380" s="7" t="n">
        <x:v>46266</x:v>
      </x:c>
    </x:row>
    <x:row r="381" ht="22" customHeight="1">
      <x:c r="A381" s="8" t="n">
        <x:v>46184</x:v>
      </x:c>
      <x:c r="B381" s="7" t="str">
        <x:v>CA_EQ</x:v>
      </x:c>
      <x:c r="C381" s="7" t="n">
        <x:v>100.3124241186</x:v>
      </x:c>
      <x:c r="D381" s="7" t="n">
        <x:v>100.3124241186</x:v>
      </x:c>
      <x:c r="E381" s="7" t="str">
        <x:v>SYNTHETIC: seeded teaching dataset; not observed market data</x:v>
      </x:c>
      <x:c r="F381" s="7" t="n">
        <x:v>46266</x:v>
      </x:c>
    </x:row>
    <x:row r="382" ht="22" customHeight="1">
      <x:c r="A382" s="8" t="n">
        <x:v>46185</x:v>
      </x:c>
      <x:c r="B382" s="7" t="str">
        <x:v>CA_EQ</x:v>
      </x:c>
      <x:c r="C382" s="7" t="n">
        <x:v>99.8488142649</x:v>
      </x:c>
      <x:c r="D382" s="7" t="n">
        <x:v>99.8488142649</x:v>
      </x:c>
      <x:c r="E382" s="7" t="str">
        <x:v>SYNTHETIC: seeded teaching dataset; not observed market data</x:v>
      </x:c>
      <x:c r="F382" s="7" t="n">
        <x:v>46266</x:v>
      </x:c>
    </x:row>
    <x:row r="383" ht="22" customHeight="1">
      <x:c r="A383" s="8" t="n">
        <x:v>46188</x:v>
      </x:c>
      <x:c r="B383" s="7" t="str">
        <x:v>CA_EQ</x:v>
      </x:c>
      <x:c r="C383" s="7" t="n">
        <x:v>97.9224015889</x:v>
      </x:c>
      <x:c r="D383" s="7" t="n">
        <x:v>97.9224015889</x:v>
      </x:c>
      <x:c r="E383" s="7" t="str">
        <x:v>SYNTHETIC: seeded teaching dataset; not observed market data</x:v>
      </x:c>
      <x:c r="F383" s="7" t="n">
        <x:v>46266</x:v>
      </x:c>
    </x:row>
    <x:row r="384" ht="22" customHeight="1">
      <x:c r="A384" s="8" t="n">
        <x:v>46189</x:v>
      </x:c>
      <x:c r="B384" s="7" t="str">
        <x:v>CA_EQ</x:v>
      </x:c>
      <x:c r="C384" s="7" t="n">
        <x:v>98.4707361131</x:v>
      </x:c>
      <x:c r="D384" s="7" t="n">
        <x:v>98.4707361131</x:v>
      </x:c>
      <x:c r="E384" s="7" t="str">
        <x:v>SYNTHETIC: seeded teaching dataset; not observed market data</x:v>
      </x:c>
      <x:c r="F384" s="7" t="n">
        <x:v>46266</x:v>
      </x:c>
    </x:row>
    <x:row r="385" ht="22" customHeight="1">
      <x:c r="A385" s="8" t="n">
        <x:v>46190</x:v>
      </x:c>
      <x:c r="B385" s="7" t="str">
        <x:v>CA_EQ</x:v>
      </x:c>
      <x:c r="C385" s="7" t="n">
        <x:v>97.7868293461</x:v>
      </x:c>
      <x:c r="D385" s="7" t="n">
        <x:v>97.7868293461</x:v>
      </x:c>
      <x:c r="E385" s="7" t="str">
        <x:v>SYNTHETIC: seeded teaching dataset; not observed market data</x:v>
      </x:c>
      <x:c r="F385" s="7" t="n">
        <x:v>46266</x:v>
      </x:c>
    </x:row>
    <x:row r="386" ht="22" customHeight="1">
      <x:c r="A386" s="8" t="n">
        <x:v>46191</x:v>
      </x:c>
      <x:c r="B386" s="7" t="str">
        <x:v>CA_EQ</x:v>
      </x:c>
      <x:c r="C386" s="7" t="n">
        <x:v>95.9234649305</x:v>
      </x:c>
      <x:c r="D386" s="7" t="n">
        <x:v>95.9234649305</x:v>
      </x:c>
      <x:c r="E386" s="7" t="str">
        <x:v>SYNTHETIC: seeded teaching dataset; not observed market data</x:v>
      </x:c>
      <x:c r="F386" s="7" t="n">
        <x:v>46266</x:v>
      </x:c>
    </x:row>
    <x:row r="387" ht="22" customHeight="1">
      <x:c r="A387" s="8" t="n">
        <x:v>46192</x:v>
      </x:c>
      <x:c r="B387" s="7" t="str">
        <x:v>CA_EQ</x:v>
      </x:c>
      <x:c r="C387" s="7" t="n">
        <x:v>95.7758862149</x:v>
      </x:c>
      <x:c r="D387" s="7" t="n">
        <x:v>95.7758862149</x:v>
      </x:c>
      <x:c r="E387" s="7" t="str">
        <x:v>SYNTHETIC: seeded teaching dataset; not observed market data</x:v>
      </x:c>
      <x:c r="F387" s="7" t="n">
        <x:v>46266</x:v>
      </x:c>
    </x:row>
    <x:row r="388" ht="22" customHeight="1">
      <x:c r="A388" s="8" t="n">
        <x:v>46195</x:v>
      </x:c>
      <x:c r="B388" s="7" t="str">
        <x:v>CA_EQ</x:v>
      </x:c>
      <x:c r="C388" s="7" t="n">
        <x:v>95.6091196123</x:v>
      </x:c>
      <x:c r="D388" s="7" t="n">
        <x:v>95.6091196123</x:v>
      </x:c>
      <x:c r="E388" s="7" t="str">
        <x:v>SYNTHETIC: seeded teaching dataset; not observed market data</x:v>
      </x:c>
      <x:c r="F388" s="7" t="n">
        <x:v>46266</x:v>
      </x:c>
    </x:row>
    <x:row r="389" ht="22" customHeight="1">
      <x:c r="A389" s="8" t="n">
        <x:v>46196</x:v>
      </x:c>
      <x:c r="B389" s="7" t="str">
        <x:v>CA_EQ</x:v>
      </x:c>
      <x:c r="C389" s="7" t="n">
        <x:v>96.432733928</x:v>
      </x:c>
      <x:c r="D389" s="7" t="n">
        <x:v>96.432733928</x:v>
      </x:c>
      <x:c r="E389" s="7" t="str">
        <x:v>SYNTHETIC: seeded teaching dataset; not observed market data</x:v>
      </x:c>
      <x:c r="F389" s="7" t="n">
        <x:v>46266</x:v>
      </x:c>
    </x:row>
    <x:row r="390" ht="22" customHeight="1">
      <x:c r="A390" s="8" t="n">
        <x:v>46197</x:v>
      </x:c>
      <x:c r="B390" s="7" t="str">
        <x:v>CA_EQ</x:v>
      </x:c>
      <x:c r="C390" s="7" t="n">
        <x:v>95.2573269606</x:v>
      </x:c>
      <x:c r="D390" s="7" t="n">
        <x:v>95.2573269606</x:v>
      </x:c>
      <x:c r="E390" s="7" t="str">
        <x:v>SYNTHETIC: seeded teaching dataset; not observed market data</x:v>
      </x:c>
      <x:c r="F390" s="7" t="n">
        <x:v>46266</x:v>
      </x:c>
    </x:row>
    <x:row r="391" ht="22" customHeight="1">
      <x:c r="A391" s="8" t="n">
        <x:v>46198</x:v>
      </x:c>
      <x:c r="B391" s="7" t="str">
        <x:v>CA_EQ</x:v>
      </x:c>
      <x:c r="C391" s="7" t="n">
        <x:v>94.2271470208</x:v>
      </x:c>
      <x:c r="D391" s="7" t="n">
        <x:v>94.2271470208</x:v>
      </x:c>
      <x:c r="E391" s="7" t="str">
        <x:v>SYNTHETIC: seeded teaching dataset; not observed market data</x:v>
      </x:c>
      <x:c r="F391" s="7" t="n">
        <x:v>46266</x:v>
      </x:c>
    </x:row>
    <x:row r="392" ht="22" customHeight="1">
      <x:c r="A392" s="8" t="n">
        <x:v>46199</x:v>
      </x:c>
      <x:c r="B392" s="7" t="str">
        <x:v>CA_EQ</x:v>
      </x:c>
      <x:c r="C392" s="7" t="n">
        <x:v>95.0251648294</x:v>
      </x:c>
      <x:c r="D392" s="7" t="n">
        <x:v>95.0251648294</x:v>
      </x:c>
      <x:c r="E392" s="7" t="str">
        <x:v>SYNTHETIC: seeded teaching dataset; not observed market data</x:v>
      </x:c>
      <x:c r="F392" s="7" t="n">
        <x:v>46266</x:v>
      </x:c>
    </x:row>
    <x:row r="393" ht="22" customHeight="1">
      <x:c r="A393" s="8" t="n">
        <x:v>46202</x:v>
      </x:c>
      <x:c r="B393" s="7" t="str">
        <x:v>CA_EQ</x:v>
      </x:c>
      <x:c r="C393" s="7" t="n">
        <x:v>94.4247307968</x:v>
      </x:c>
      <x:c r="D393" s="7" t="n">
        <x:v>94.4247307968</x:v>
      </x:c>
      <x:c r="E393" s="7" t="str">
        <x:v>SYNTHETIC: seeded teaching dataset; not observed market data</x:v>
      </x:c>
      <x:c r="F393" s="7" t="n">
        <x:v>46266</x:v>
      </x:c>
    </x:row>
    <x:row r="394" ht="22" customHeight="1">
      <x:c r="A394" s="8" t="n">
        <x:v>46203</x:v>
      </x:c>
      <x:c r="B394" s="7" t="str">
        <x:v>CA_EQ</x:v>
      </x:c>
      <x:c r="C394" s="7" t="n">
        <x:v>94.4848911105</x:v>
      </x:c>
      <x:c r="D394" s="7" t="n">
        <x:v>94.4848911105</x:v>
      </x:c>
      <x:c r="E394" s="7" t="str">
        <x:v>SYNTHETIC: seeded teaching dataset; not observed market data</x:v>
      </x:c>
      <x:c r="F394" s="7" t="n">
        <x:v>46266</x:v>
      </x:c>
    </x:row>
    <x:row r="395" ht="22" customHeight="1">
      <x:c r="A395" s="8" t="n">
        <x:v>46204</x:v>
      </x:c>
      <x:c r="B395" s="7" t="str">
        <x:v>CA_EQ</x:v>
      </x:c>
      <x:c r="C395" s="7" t="n">
        <x:v>94.2041061573</x:v>
      </x:c>
      <x:c r="D395" s="7" t="n">
        <x:v>94.2041061573</x:v>
      </x:c>
      <x:c r="E395" s="7" t="str">
        <x:v>SYNTHETIC: seeded teaching dataset; not observed market data</x:v>
      </x:c>
      <x:c r="F395" s="7" t="n">
        <x:v>46266</x:v>
      </x:c>
    </x:row>
    <x:row r="396" ht="22" customHeight="1">
      <x:c r="A396" s="8" t="n">
        <x:v>46205</x:v>
      </x:c>
      <x:c r="B396" s="7" t="str">
        <x:v>CA_EQ</x:v>
      </x:c>
      <x:c r="C396" s="7" t="n">
        <x:v>93.5610170834</x:v>
      </x:c>
      <x:c r="D396" s="7" t="n">
        <x:v>93.5610170834</x:v>
      </x:c>
      <x:c r="E396" s="7" t="str">
        <x:v>SYNTHETIC: seeded teaching dataset; not observed market data</x:v>
      </x:c>
      <x:c r="F396" s="7" t="n">
        <x:v>46266</x:v>
      </x:c>
    </x:row>
    <x:row r="397" ht="22" customHeight="1">
      <x:c r="A397" s="8" t="n">
        <x:v>46206</x:v>
      </x:c>
      <x:c r="B397" s="7" t="str">
        <x:v>CA_EQ</x:v>
      </x:c>
      <x:c r="C397" s="7" t="n">
        <x:v>94.3703220354</x:v>
      </x:c>
      <x:c r="D397" s="7" t="n">
        <x:v>94.3703220354</x:v>
      </x:c>
      <x:c r="E397" s="7" t="str">
        <x:v>SYNTHETIC: seeded teaching dataset; not observed market data</x:v>
      </x:c>
      <x:c r="F397" s="7" t="n">
        <x:v>46266</x:v>
      </x:c>
    </x:row>
    <x:row r="398" ht="22" customHeight="1">
      <x:c r="A398" s="8" t="n">
        <x:v>46209</x:v>
      </x:c>
      <x:c r="B398" s="7" t="str">
        <x:v>CA_EQ</x:v>
      </x:c>
      <x:c r="C398" s="7" t="n">
        <x:v>93.53590032</x:v>
      </x:c>
      <x:c r="D398" s="7" t="n">
        <x:v>93.53590032</x:v>
      </x:c>
      <x:c r="E398" s="7" t="str">
        <x:v>SYNTHETIC: seeded teaching dataset; not observed market data</x:v>
      </x:c>
      <x:c r="F398" s="7" t="n">
        <x:v>46266</x:v>
      </x:c>
    </x:row>
    <x:row r="399" ht="22" customHeight="1">
      <x:c r="A399" s="8" t="n">
        <x:v>46210</x:v>
      </x:c>
      <x:c r="B399" s="7" t="str">
        <x:v>CA_EQ</x:v>
      </x:c>
      <x:c r="C399" s="7" t="n">
        <x:v>93.3320659024</x:v>
      </x:c>
      <x:c r="D399" s="7" t="n">
        <x:v>93.3320659024</x:v>
      </x:c>
      <x:c r="E399" s="7" t="str">
        <x:v>SYNTHETIC: seeded teaching dataset; not observed market data</x:v>
      </x:c>
      <x:c r="F399" s="7" t="n">
        <x:v>46266</x:v>
      </x:c>
    </x:row>
    <x:row r="400" ht="22" customHeight="1">
      <x:c r="A400" s="8" t="n">
        <x:v>46211</x:v>
      </x:c>
      <x:c r="B400" s="7" t="str">
        <x:v>CA_EQ</x:v>
      </x:c>
      <x:c r="C400" s="7" t="n">
        <x:v>94.2630205002</x:v>
      </x:c>
      <x:c r="D400" s="7" t="n">
        <x:v>94.2630205002</x:v>
      </x:c>
      <x:c r="E400" s="7" t="str">
        <x:v>SYNTHETIC: seeded teaching dataset; not observed market data</x:v>
      </x:c>
      <x:c r="F400" s="7" t="n">
        <x:v>46266</x:v>
      </x:c>
    </x:row>
    <x:row r="401" ht="22" customHeight="1">
      <x:c r="A401" s="8" t="n">
        <x:v>46212</x:v>
      </x:c>
      <x:c r="B401" s="7" t="str">
        <x:v>CA_EQ</x:v>
      </x:c>
      <x:c r="C401" s="7" t="n">
        <x:v>94.4825155646</x:v>
      </x:c>
      <x:c r="D401" s="7" t="n">
        <x:v>94.4825155646</x:v>
      </x:c>
      <x:c r="E401" s="7" t="str">
        <x:v>SYNTHETIC: seeded teaching dataset; not observed market data</x:v>
      </x:c>
      <x:c r="F401" s="7" t="n">
        <x:v>46266</x:v>
      </x:c>
    </x:row>
    <x:row r="402" ht="22" customHeight="1">
      <x:c r="A402" s="8" t="n">
        <x:v>46213</x:v>
      </x:c>
      <x:c r="B402" s="7" t="str">
        <x:v>CA_EQ</x:v>
      </x:c>
      <x:c r="C402" s="7" t="n">
        <x:v>92.2540347013</x:v>
      </x:c>
      <x:c r="D402" s="7" t="n">
        <x:v>92.2540347013</x:v>
      </x:c>
      <x:c r="E402" s="7" t="str">
        <x:v>SYNTHETIC: seeded teaching dataset; not observed market data</x:v>
      </x:c>
      <x:c r="F402" s="7" t="n">
        <x:v>46266</x:v>
      </x:c>
    </x:row>
    <x:row r="403" ht="22" customHeight="1">
      <x:c r="A403" s="8" t="n">
        <x:v>46216</x:v>
      </x:c>
      <x:c r="B403" s="7" t="str">
        <x:v>CA_EQ</x:v>
      </x:c>
      <x:c r="C403" s="7" t="n">
        <x:v>92.7397892228</x:v>
      </x:c>
      <x:c r="D403" s="7" t="n">
        <x:v>92.7397892228</x:v>
      </x:c>
      <x:c r="E403" s="7" t="str">
        <x:v>SYNTHETIC: seeded teaching dataset; not observed market data</x:v>
      </x:c>
      <x:c r="F403" s="7" t="n">
        <x:v>46266</x:v>
      </x:c>
    </x:row>
    <x:row r="404" ht="22" customHeight="1">
      <x:c r="A404" s="8" t="n">
        <x:v>46217</x:v>
      </x:c>
      <x:c r="B404" s="7" t="str">
        <x:v>CA_EQ</x:v>
      </x:c>
      <x:c r="C404" s="7" t="n">
        <x:v>93.2467112845</x:v>
      </x:c>
      <x:c r="D404" s="7" t="n">
        <x:v>93.2467112845</x:v>
      </x:c>
      <x:c r="E404" s="7" t="str">
        <x:v>SYNTHETIC: seeded teaching dataset; not observed market data</x:v>
      </x:c>
      <x:c r="F404" s="7" t="n">
        <x:v>46266</x:v>
      </x:c>
    </x:row>
    <x:row r="405" ht="22" customHeight="1">
      <x:c r="A405" s="8" t="n">
        <x:v>46218</x:v>
      </x:c>
      <x:c r="B405" s="7" t="str">
        <x:v>CA_EQ</x:v>
      </x:c>
      <x:c r="C405" s="7" t="n">
        <x:v>91.7067998001</x:v>
      </x:c>
      <x:c r="D405" s="7" t="n">
        <x:v>91.7067998001</x:v>
      </x:c>
      <x:c r="E405" s="7" t="str">
        <x:v>SYNTHETIC: seeded teaching dataset; not observed market data</x:v>
      </x:c>
      <x:c r="F405" s="7" t="n">
        <x:v>46266</x:v>
      </x:c>
    </x:row>
    <x:row r="406" ht="22" customHeight="1">
      <x:c r="A406" s="8" t="n">
        <x:v>46219</x:v>
      </x:c>
      <x:c r="B406" s="7" t="str">
        <x:v>CA_EQ</x:v>
      </x:c>
      <x:c r="C406" s="7" t="n">
        <x:v>90.6052902869</x:v>
      </x:c>
      <x:c r="D406" s="7" t="n">
        <x:v>90.6052902869</x:v>
      </x:c>
      <x:c r="E406" s="7" t="str">
        <x:v>SYNTHETIC: seeded teaching dataset; not observed market data</x:v>
      </x:c>
      <x:c r="F406" s="7" t="n">
        <x:v>46266</x:v>
      </x:c>
    </x:row>
    <x:row r="407" ht="22" customHeight="1">
      <x:c r="A407" s="8" t="n">
        <x:v>46220</x:v>
      </x:c>
      <x:c r="B407" s="7" t="str">
        <x:v>CA_EQ</x:v>
      </x:c>
      <x:c r="C407" s="7" t="n">
        <x:v>90.3198246632</x:v>
      </x:c>
      <x:c r="D407" s="7" t="n">
        <x:v>90.3198246632</x:v>
      </x:c>
      <x:c r="E407" s="7" t="str">
        <x:v>SYNTHETIC: seeded teaching dataset; not observed market data</x:v>
      </x:c>
      <x:c r="F407" s="7" t="n">
        <x:v>46266</x:v>
      </x:c>
    </x:row>
    <x:row r="408" ht="22" customHeight="1">
      <x:c r="A408" s="8" t="n">
        <x:v>46223</x:v>
      </x:c>
      <x:c r="B408" s="7" t="str">
        <x:v>CA_EQ</x:v>
      </x:c>
      <x:c r="C408" s="7" t="n">
        <x:v>90.8676241682</x:v>
      </x:c>
      <x:c r="D408" s="7" t="n">
        <x:v>90.8676241682</x:v>
      </x:c>
      <x:c r="E408" s="7" t="str">
        <x:v>SYNTHETIC: seeded teaching dataset; not observed market data</x:v>
      </x:c>
      <x:c r="F408" s="7" t="n">
        <x:v>46266</x:v>
      </x:c>
    </x:row>
    <x:row r="409" ht="22" customHeight="1">
      <x:c r="A409" s="8" t="n">
        <x:v>46224</x:v>
      </x:c>
      <x:c r="B409" s="7" t="str">
        <x:v>CA_EQ</x:v>
      </x:c>
      <x:c r="C409" s="7" t="n">
        <x:v>89.9577378163</x:v>
      </x:c>
      <x:c r="D409" s="7" t="n">
        <x:v>89.9577378163</x:v>
      </x:c>
      <x:c r="E409" s="7" t="str">
        <x:v>SYNTHETIC: seeded teaching dataset; not observed market data</x:v>
      </x:c>
      <x:c r="F409" s="7" t="n">
        <x:v>46266</x:v>
      </x:c>
    </x:row>
    <x:row r="410" ht="22" customHeight="1">
      <x:c r="A410" s="8" t="n">
        <x:v>46225</x:v>
      </x:c>
      <x:c r="B410" s="7" t="str">
        <x:v>CA_EQ</x:v>
      </x:c>
      <x:c r="C410" s="7" t="n">
        <x:v>90.6883807048</x:v>
      </x:c>
      <x:c r="D410" s="7" t="n">
        <x:v>90.6883807048</x:v>
      </x:c>
      <x:c r="E410" s="7" t="str">
        <x:v>SYNTHETIC: seeded teaching dataset; not observed market data</x:v>
      </x:c>
      <x:c r="F410" s="7" t="n">
        <x:v>46266</x:v>
      </x:c>
    </x:row>
    <x:row r="411" ht="22" customHeight="1">
      <x:c r="A411" s="8" t="n">
        <x:v>46226</x:v>
      </x:c>
      <x:c r="B411" s="7" t="str">
        <x:v>CA_EQ</x:v>
      </x:c>
      <x:c r="C411" s="7" t="n">
        <x:v>90.7854695578</x:v>
      </x:c>
      <x:c r="D411" s="7" t="n">
        <x:v>90.7854695578</x:v>
      </x:c>
      <x:c r="E411" s="7" t="str">
        <x:v>SYNTHETIC: seeded teaching dataset; not observed market data</x:v>
      </x:c>
      <x:c r="F411" s="7" t="n">
        <x:v>46266</x:v>
      </x:c>
    </x:row>
    <x:row r="412" ht="22" customHeight="1">
      <x:c r="A412" s="8" t="n">
        <x:v>46227</x:v>
      </x:c>
      <x:c r="B412" s="7" t="str">
        <x:v>CA_EQ</x:v>
      </x:c>
      <x:c r="C412" s="7" t="n">
        <x:v>90.5219551905</x:v>
      </x:c>
      <x:c r="D412" s="7" t="n">
        <x:v>90.5219551905</x:v>
      </x:c>
      <x:c r="E412" s="7" t="str">
        <x:v>SYNTHETIC: seeded teaching dataset; not observed market data</x:v>
      </x:c>
      <x:c r="F412" s="7" t="n">
        <x:v>46266</x:v>
      </x:c>
    </x:row>
    <x:row r="413" ht="22" customHeight="1">
      <x:c r="A413" s="8" t="n">
        <x:v>46230</x:v>
      </x:c>
      <x:c r="B413" s="7" t="str">
        <x:v>CA_EQ</x:v>
      </x:c>
      <x:c r="C413" s="7" t="n">
        <x:v>91.8064347197</x:v>
      </x:c>
      <x:c r="D413" s="7" t="n">
        <x:v>91.8064347197</x:v>
      </x:c>
      <x:c r="E413" s="7" t="str">
        <x:v>SYNTHETIC: seeded teaching dataset; not observed market data</x:v>
      </x:c>
      <x:c r="F413" s="7" t="n">
        <x:v>46266</x:v>
      </x:c>
    </x:row>
    <x:row r="414" ht="22" customHeight="1">
      <x:c r="A414" s="8" t="n">
        <x:v>46231</x:v>
      </x:c>
      <x:c r="B414" s="7" t="str">
        <x:v>CA_EQ</x:v>
      </x:c>
      <x:c r="C414" s="7" t="n">
        <x:v>90.0007898573</x:v>
      </x:c>
      <x:c r="D414" s="7" t="n">
        <x:v>90.0007898573</x:v>
      </x:c>
      <x:c r="E414" s="7" t="str">
        <x:v>SYNTHETIC: seeded teaching dataset; not observed market data</x:v>
      </x:c>
      <x:c r="F414" s="7" t="n">
        <x:v>46266</x:v>
      </x:c>
    </x:row>
    <x:row r="415" ht="22" customHeight="1">
      <x:c r="A415" s="8" t="n">
        <x:v>46232</x:v>
      </x:c>
      <x:c r="B415" s="7" t="str">
        <x:v>CA_EQ</x:v>
      </x:c>
      <x:c r="C415" s="7" t="n">
        <x:v>89.2433897267</x:v>
      </x:c>
      <x:c r="D415" s="7" t="n">
        <x:v>89.2433897267</x:v>
      </x:c>
      <x:c r="E415" s="7" t="str">
        <x:v>SYNTHETIC: seeded teaching dataset; not observed market data</x:v>
      </x:c>
      <x:c r="F415" s="7" t="n">
        <x:v>46266</x:v>
      </x:c>
    </x:row>
    <x:row r="416" ht="22" customHeight="1">
      <x:c r="A416" s="8" t="n">
        <x:v>46233</x:v>
      </x:c>
      <x:c r="B416" s="7" t="str">
        <x:v>CA_EQ</x:v>
      </x:c>
      <x:c r="C416" s="7" t="n">
        <x:v>92.4523831324</x:v>
      </x:c>
      <x:c r="D416" s="7" t="n">
        <x:v>92.4523831324</x:v>
      </x:c>
      <x:c r="E416" s="7" t="str">
        <x:v>SYNTHETIC: seeded teaching dataset; not observed market data</x:v>
      </x:c>
      <x:c r="F416" s="7" t="n">
        <x:v>46266</x:v>
      </x:c>
    </x:row>
    <x:row r="417" ht="22" customHeight="1">
      <x:c r="A417" s="8" t="n">
        <x:v>46234</x:v>
      </x:c>
      <x:c r="B417" s="7" t="str">
        <x:v>CA_EQ</x:v>
      </x:c>
      <x:c r="C417" s="7" t="n">
        <x:v>92.1937747086</x:v>
      </x:c>
      <x:c r="D417" s="7" t="n">
        <x:v>92.1937747086</x:v>
      </x:c>
      <x:c r="E417" s="7" t="str">
        <x:v>SYNTHETIC: seeded teaching dataset; not observed market data</x:v>
      </x:c>
      <x:c r="F417" s="7" t="n">
        <x:v>46266</x:v>
      </x:c>
    </x:row>
    <x:row r="418" ht="22" customHeight="1">
      <x:c r="A418" s="8" t="n">
        <x:v>46237</x:v>
      </x:c>
      <x:c r="B418" s="7" t="str">
        <x:v>CA_EQ</x:v>
      </x:c>
      <x:c r="C418" s="7" t="n">
        <x:v>94.1697536616</x:v>
      </x:c>
      <x:c r="D418" s="7" t="n">
        <x:v>94.1697536616</x:v>
      </x:c>
      <x:c r="E418" s="7" t="str">
        <x:v>SYNTHETIC: seeded teaching dataset; not observed market data</x:v>
      </x:c>
      <x:c r="F418" s="7" t="n">
        <x:v>46266</x:v>
      </x:c>
    </x:row>
    <x:row r="419" ht="22" customHeight="1">
      <x:c r="A419" s="8" t="n">
        <x:v>46238</x:v>
      </x:c>
      <x:c r="B419" s="7" t="str">
        <x:v>CA_EQ</x:v>
      </x:c>
      <x:c r="C419" s="7" t="n">
        <x:v>93.636065418</x:v>
      </x:c>
      <x:c r="D419" s="7" t="n">
        <x:v>93.636065418</x:v>
      </x:c>
      <x:c r="E419" s="7" t="str">
        <x:v>SYNTHETIC: seeded teaching dataset; not observed market data</x:v>
      </x:c>
      <x:c r="F419" s="7" t="n">
        <x:v>46266</x:v>
      </x:c>
    </x:row>
    <x:row r="420" ht="22" customHeight="1">
      <x:c r="A420" s="8" t="n">
        <x:v>46239</x:v>
      </x:c>
      <x:c r="B420" s="7" t="str">
        <x:v>CA_EQ</x:v>
      </x:c>
      <x:c r="C420" s="7" t="n">
        <x:v>95.957558933</x:v>
      </x:c>
      <x:c r="D420" s="7" t="n">
        <x:v>95.957558933</x:v>
      </x:c>
      <x:c r="E420" s="7" t="str">
        <x:v>SYNTHETIC: seeded teaching dataset; not observed market data</x:v>
      </x:c>
      <x:c r="F420" s="7" t="n">
        <x:v>46266</x:v>
      </x:c>
    </x:row>
    <x:row r="421" ht="22" customHeight="1">
      <x:c r="A421" s="8" t="n">
        <x:v>46240</x:v>
      </x:c>
      <x:c r="B421" s="7" t="str">
        <x:v>CA_EQ</x:v>
      </x:c>
      <x:c r="C421" s="7" t="n">
        <x:v>95.5732498494</x:v>
      </x:c>
      <x:c r="D421" s="7" t="n">
        <x:v>95.5732498494</x:v>
      </x:c>
      <x:c r="E421" s="7" t="str">
        <x:v>SYNTHETIC: seeded teaching dataset; not observed market data</x:v>
      </x:c>
      <x:c r="F421" s="7" t="n">
        <x:v>46266</x:v>
      </x:c>
    </x:row>
    <x:row r="422" ht="22" customHeight="1">
      <x:c r="A422" s="8" t="n">
        <x:v>46241</x:v>
      </x:c>
      <x:c r="B422" s="7" t="str">
        <x:v>CA_EQ</x:v>
      </x:c>
      <x:c r="C422" s="7" t="n">
        <x:v>94.6761319118</x:v>
      </x:c>
      <x:c r="D422" s="7" t="n">
        <x:v>94.6761319118</x:v>
      </x:c>
      <x:c r="E422" s="7" t="str">
        <x:v>SYNTHETIC: seeded teaching dataset; not observed market data</x:v>
      </x:c>
      <x:c r="F422" s="7" t="n">
        <x:v>46266</x:v>
      </x:c>
    </x:row>
    <x:row r="423" ht="22" customHeight="1">
      <x:c r="A423" s="8" t="n">
        <x:v>46244</x:v>
      </x:c>
      <x:c r="B423" s="7" t="str">
        <x:v>CA_EQ</x:v>
      </x:c>
      <x:c r="C423" s="7" t="n">
        <x:v>94.5234345754</x:v>
      </x:c>
      <x:c r="D423" s="7" t="n">
        <x:v>94.5234345754</x:v>
      </x:c>
      <x:c r="E423" s="7" t="str">
        <x:v>SYNTHETIC: seeded teaching dataset; not observed market data</x:v>
      </x:c>
      <x:c r="F423" s="7" t="n">
        <x:v>46266</x:v>
      </x:c>
    </x:row>
    <x:row r="424" ht="22" customHeight="1">
      <x:c r="A424" s="8" t="n">
        <x:v>46245</x:v>
      </x:c>
      <x:c r="B424" s="7" t="str">
        <x:v>CA_EQ</x:v>
      </x:c>
      <x:c r="C424" s="7" t="n">
        <x:v>95.4141156383</x:v>
      </x:c>
      <x:c r="D424" s="7" t="n">
        <x:v>95.4141156383</x:v>
      </x:c>
      <x:c r="E424" s="7" t="str">
        <x:v>SYNTHETIC: seeded teaching dataset; not observed market data</x:v>
      </x:c>
      <x:c r="F424" s="7" t="n">
        <x:v>46266</x:v>
      </x:c>
    </x:row>
    <x:row r="425" ht="22" customHeight="1">
      <x:c r="A425" s="8" t="n">
        <x:v>46246</x:v>
      </x:c>
      <x:c r="B425" s="7" t="str">
        <x:v>CA_EQ</x:v>
      </x:c>
      <x:c r="C425" s="7" t="n">
        <x:v>96.8113958389</x:v>
      </x:c>
      <x:c r="D425" s="7" t="n">
        <x:v>96.8113958389</x:v>
      </x:c>
      <x:c r="E425" s="7" t="str">
        <x:v>SYNTHETIC: seeded teaching dataset; not observed market data</x:v>
      </x:c>
      <x:c r="F425" s="7" t="n">
        <x:v>46266</x:v>
      </x:c>
    </x:row>
    <x:row r="426" ht="22" customHeight="1">
      <x:c r="A426" s="8" t="n">
        <x:v>46247</x:v>
      </x:c>
      <x:c r="B426" s="7" t="str">
        <x:v>CA_EQ</x:v>
      </x:c>
      <x:c r="C426" s="7" t="n">
        <x:v>97.3663251236</x:v>
      </x:c>
      <x:c r="D426" s="7" t="n">
        <x:v>97.3663251236</x:v>
      </x:c>
      <x:c r="E426" s="7" t="str">
        <x:v>SYNTHETIC: seeded teaching dataset; not observed market data</x:v>
      </x:c>
      <x:c r="F426" s="7" t="n">
        <x:v>46266</x:v>
      </x:c>
    </x:row>
    <x:row r="427" ht="22" customHeight="1">
      <x:c r="A427" s="8" t="n">
        <x:v>46248</x:v>
      </x:c>
      <x:c r="B427" s="7" t="str">
        <x:v>CA_EQ</x:v>
      </x:c>
      <x:c r="C427" s="7" t="n">
        <x:v>97.5937159015</x:v>
      </x:c>
      <x:c r="D427" s="7" t="n">
        <x:v>97.5937159015</x:v>
      </x:c>
      <x:c r="E427" s="7" t="str">
        <x:v>SYNTHETIC: seeded teaching dataset; not observed market data</x:v>
      </x:c>
      <x:c r="F427" s="7" t="n">
        <x:v>46266</x:v>
      </x:c>
    </x:row>
    <x:row r="428" ht="22" customHeight="1">
      <x:c r="A428" s="8" t="n">
        <x:v>46251</x:v>
      </x:c>
      <x:c r="B428" s="7" t="str">
        <x:v>CA_EQ</x:v>
      </x:c>
      <x:c r="C428" s="7" t="n">
        <x:v>97.785906791</x:v>
      </x:c>
      <x:c r="D428" s="7" t="n">
        <x:v>97.785906791</x:v>
      </x:c>
      <x:c r="E428" s="7" t="str">
        <x:v>SYNTHETIC: seeded teaching dataset; not observed market data</x:v>
      </x:c>
      <x:c r="F428" s="7" t="n">
        <x:v>46266</x:v>
      </x:c>
    </x:row>
    <x:row r="429" ht="22" customHeight="1">
      <x:c r="A429" s="8" t="n">
        <x:v>46252</x:v>
      </x:c>
      <x:c r="B429" s="7" t="str">
        <x:v>CA_EQ</x:v>
      </x:c>
      <x:c r="C429" s="7" t="n">
        <x:v>98.754670412</x:v>
      </x:c>
      <x:c r="D429" s="7" t="n">
        <x:v>98.754670412</x:v>
      </x:c>
      <x:c r="E429" s="7" t="str">
        <x:v>SYNTHETIC: seeded teaching dataset; not observed market data</x:v>
      </x:c>
      <x:c r="F429" s="7" t="n">
        <x:v>46266</x:v>
      </x:c>
    </x:row>
    <x:row r="430" ht="22" customHeight="1">
      <x:c r="A430" s="8" t="n">
        <x:v>46253</x:v>
      </x:c>
      <x:c r="B430" s="7" t="str">
        <x:v>CA_EQ</x:v>
      </x:c>
      <x:c r="C430" s="7" t="n">
        <x:v>99.609429122</x:v>
      </x:c>
      <x:c r="D430" s="7" t="n">
        <x:v>99.609429122</x:v>
      </x:c>
      <x:c r="E430" s="7" t="str">
        <x:v>SYNTHETIC: seeded teaching dataset; not observed market data</x:v>
      </x:c>
      <x:c r="F430" s="7" t="n">
        <x:v>46266</x:v>
      </x:c>
    </x:row>
    <x:row r="431" ht="22" customHeight="1">
      <x:c r="A431" s="8" t="n">
        <x:v>46254</x:v>
      </x:c>
      <x:c r="B431" s="7" t="str">
        <x:v>CA_EQ</x:v>
      </x:c>
      <x:c r="C431" s="7" t="n">
        <x:v>100.6306330232</x:v>
      </x:c>
      <x:c r="D431" s="7" t="n">
        <x:v>100.6306330232</x:v>
      </x:c>
      <x:c r="E431" s="7" t="str">
        <x:v>SYNTHETIC: seeded teaching dataset; not observed market data</x:v>
      </x:c>
      <x:c r="F431" s="7" t="n">
        <x:v>46266</x:v>
      </x:c>
    </x:row>
    <x:row r="432" ht="22" customHeight="1">
      <x:c r="A432" s="8" t="n">
        <x:v>46255</x:v>
      </x:c>
      <x:c r="B432" s="7" t="str">
        <x:v>CA_EQ</x:v>
      </x:c>
      <x:c r="C432" s="7" t="n">
        <x:v>101.2062119062</x:v>
      </x:c>
      <x:c r="D432" s="7" t="n">
        <x:v>101.2062119062</x:v>
      </x:c>
      <x:c r="E432" s="7" t="str">
        <x:v>SYNTHETIC: seeded teaching dataset; not observed market data</x:v>
      </x:c>
      <x:c r="F432" s="7" t="n">
        <x:v>46266</x:v>
      </x:c>
    </x:row>
    <x:row r="433" ht="22" customHeight="1">
      <x:c r="A433" s="8" t="n">
        <x:v>46258</x:v>
      </x:c>
      <x:c r="B433" s="7" t="str">
        <x:v>CA_EQ</x:v>
      </x:c>
      <x:c r="C433" s="7" t="n">
        <x:v>101.721408629</x:v>
      </x:c>
      <x:c r="D433" s="7" t="n">
        <x:v>101.721408629</x:v>
      </x:c>
      <x:c r="E433" s="7" t="str">
        <x:v>SYNTHETIC: seeded teaching dataset; not observed market data</x:v>
      </x:c>
      <x:c r="F433" s="7" t="n">
        <x:v>46266</x:v>
      </x:c>
    </x:row>
    <x:row r="434" ht="22" customHeight="1">
      <x:c r="A434" s="8" t="n">
        <x:v>46259</x:v>
      </x:c>
      <x:c r="B434" s="7" t="str">
        <x:v>CA_EQ</x:v>
      </x:c>
      <x:c r="C434" s="7" t="n">
        <x:v>100.8634559298</x:v>
      </x:c>
      <x:c r="D434" s="7" t="n">
        <x:v>100.8634559298</x:v>
      </x:c>
      <x:c r="E434" s="7" t="str">
        <x:v>SYNTHETIC: seeded teaching dataset; not observed market data</x:v>
      </x:c>
      <x:c r="F434" s="7" t="n">
        <x:v>46266</x:v>
      </x:c>
    </x:row>
    <x:row r="435" ht="22" customHeight="1">
      <x:c r="A435" s="8" t="n">
        <x:v>46260</x:v>
      </x:c>
      <x:c r="B435" s="7" t="str">
        <x:v>CA_EQ</x:v>
      </x:c>
      <x:c r="C435" s="7" t="n">
        <x:v>100.1716113742</x:v>
      </x:c>
      <x:c r="D435" s="7" t="n">
        <x:v>100.1716113742</x:v>
      </x:c>
      <x:c r="E435" s="7" t="str">
        <x:v>SYNTHETIC: seeded teaching dataset; not observed market data</x:v>
      </x:c>
      <x:c r="F435" s="7" t="n">
        <x:v>46266</x:v>
      </x:c>
    </x:row>
    <x:row r="436" ht="22" customHeight="1">
      <x:c r="A436" s="8" t="n">
        <x:v>46261</x:v>
      </x:c>
      <x:c r="B436" s="7" t="str">
        <x:v>CA_EQ</x:v>
      </x:c>
      <x:c r="C436" s="7" t="n">
        <x:v>100.3623164185</x:v>
      </x:c>
      <x:c r="D436" s="7" t="n">
        <x:v>100.3623164185</x:v>
      </x:c>
      <x:c r="E436" s="7" t="str">
        <x:v>SYNTHETIC: seeded teaching dataset; not observed market data</x:v>
      </x:c>
      <x:c r="F436" s="7" t="n">
        <x:v>46266</x:v>
      </x:c>
    </x:row>
    <x:row r="437" ht="22" customHeight="1">
      <x:c r="A437" s="8" t="n">
        <x:v>46262</x:v>
      </x:c>
      <x:c r="B437" s="7" t="str">
        <x:v>CA_EQ</x:v>
      </x:c>
      <x:c r="C437" s="7" t="n">
        <x:v>100.638897403</x:v>
      </x:c>
      <x:c r="D437" s="7" t="n">
        <x:v>100.638897403</x:v>
      </x:c>
      <x:c r="E437" s="7" t="str">
        <x:v>SYNTHETIC: seeded teaching dataset; not observed market data</x:v>
      </x:c>
      <x:c r="F437" s="7" t="n">
        <x:v>46266</x:v>
      </x:c>
    </x:row>
    <x:row r="438" ht="22" customHeight="1">
      <x:c r="A438" s="8" t="n">
        <x:v>46265</x:v>
      </x:c>
      <x:c r="B438" s="7" t="str">
        <x:v>CA_EQ</x:v>
      </x:c>
      <x:c r="C438" s="7" t="n">
        <x:v>100</x:v>
      </x:c>
      <x:c r="D438" s="7" t="n">
        <x:v>100</x:v>
      </x:c>
      <x:c r="E438" s="7" t="str">
        <x:v>SYNTHETIC: seeded teaching dataset; not observed market data</x:v>
      </x:c>
      <x:c r="F438" s="7" t="n">
        <x:v>46266</x:v>
      </x:c>
    </x:row>
    <x:row r="439" ht="22" customHeight="1">
      <x:c r="A439" s="8" t="n">
        <x:v>45659</x:v>
      </x:c>
      <x:c r="B439" s="7" t="str">
        <x:v>US_EQ</x:v>
      </x:c>
      <x:c r="C439" s="7" t="n">
        <x:v>266.0945933767</x:v>
      </x:c>
      <x:c r="D439" s="7" t="n">
        <x:v>266.0945933767</x:v>
      </x:c>
      <x:c r="E439" s="7" t="str">
        <x:v>SYNTHETIC: seeded teaching dataset; not observed market data</x:v>
      </x:c>
      <x:c r="F439" s="7" t="n">
        <x:v>46266</x:v>
      </x:c>
    </x:row>
    <x:row r="440" ht="22" customHeight="1">
      <x:c r="A440" s="8" t="n">
        <x:v>45660</x:v>
      </x:c>
      <x:c r="B440" s="7" t="str">
        <x:v>US_EQ</x:v>
      </x:c>
      <x:c r="C440" s="7" t="n">
        <x:v>261.7481809741</x:v>
      </x:c>
      <x:c r="D440" s="7" t="n">
        <x:v>261.7481809741</x:v>
      </x:c>
      <x:c r="E440" s="7" t="str">
        <x:v>SYNTHETIC: seeded teaching dataset; not observed market data</x:v>
      </x:c>
      <x:c r="F440" s="7" t="n">
        <x:v>46266</x:v>
      </x:c>
    </x:row>
    <x:row r="441" ht="22" customHeight="1">
      <x:c r="A441" s="8" t="n">
        <x:v>45663</x:v>
      </x:c>
      <x:c r="B441" s="7" t="str">
        <x:v>US_EQ</x:v>
      </x:c>
      <x:c r="C441" s="7" t="n">
        <x:v>262.8972245568</x:v>
      </x:c>
      <x:c r="D441" s="7" t="n">
        <x:v>262.8972245568</x:v>
      </x:c>
      <x:c r="E441" s="7" t="str">
        <x:v>SYNTHETIC: seeded teaching dataset; not observed market data</x:v>
      </x:c>
      <x:c r="F441" s="7" t="n">
        <x:v>46266</x:v>
      </x:c>
    </x:row>
    <x:row r="442" ht="22" customHeight="1">
      <x:c r="A442" s="8" t="n">
        <x:v>45664</x:v>
      </x:c>
      <x:c r="B442" s="7" t="str">
        <x:v>US_EQ</x:v>
      </x:c>
      <x:c r="C442" s="7" t="n">
        <x:v>259.0836130112</x:v>
      </x:c>
      <x:c r="D442" s="7" t="n">
        <x:v>259.0836130112</x:v>
      </x:c>
      <x:c r="E442" s="7" t="str">
        <x:v>SYNTHETIC: seeded teaching dataset; not observed market data</x:v>
      </x:c>
      <x:c r="F442" s="7" t="n">
        <x:v>46266</x:v>
      </x:c>
    </x:row>
    <x:row r="443" ht="22" customHeight="1">
      <x:c r="A443" s="8" t="n">
        <x:v>45665</x:v>
      </x:c>
      <x:c r="B443" s="7" t="str">
        <x:v>US_EQ</x:v>
      </x:c>
      <x:c r="C443" s="7" t="n">
        <x:v>249.9888768004</x:v>
      </x:c>
      <x:c r="D443" s="7" t="n">
        <x:v>249.9888768004</x:v>
      </x:c>
      <x:c r="E443" s="7" t="str">
        <x:v>SYNTHETIC: seeded teaching dataset; not observed market data</x:v>
      </x:c>
      <x:c r="F443" s="7" t="n">
        <x:v>46266</x:v>
      </x:c>
    </x:row>
    <x:row r="444" ht="22" customHeight="1">
      <x:c r="A444" s="8" t="n">
        <x:v>45666</x:v>
      </x:c>
      <x:c r="B444" s="7" t="str">
        <x:v>US_EQ</x:v>
      </x:c>
      <x:c r="C444" s="7" t="n">
        <x:v>247.0244163081</x:v>
      </x:c>
      <x:c r="D444" s="7" t="n">
        <x:v>247.0244163081</x:v>
      </x:c>
      <x:c r="E444" s="7" t="str">
        <x:v>SYNTHETIC: seeded teaching dataset; not observed market data</x:v>
      </x:c>
      <x:c r="F444" s="7" t="n">
        <x:v>46266</x:v>
      </x:c>
    </x:row>
    <x:row r="445" ht="22" customHeight="1">
      <x:c r="A445" s="8" t="n">
        <x:v>45667</x:v>
      </x:c>
      <x:c r="B445" s="7" t="str">
        <x:v>US_EQ</x:v>
      </x:c>
      <x:c r="C445" s="7" t="n">
        <x:v>246.4014846307</x:v>
      </x:c>
      <x:c r="D445" s="7" t="n">
        <x:v>246.4014846307</x:v>
      </x:c>
      <x:c r="E445" s="7" t="str">
        <x:v>SYNTHETIC: seeded teaching dataset; not observed market data</x:v>
      </x:c>
      <x:c r="F445" s="7" t="n">
        <x:v>46266</x:v>
      </x:c>
    </x:row>
    <x:row r="446" ht="22" customHeight="1">
      <x:c r="A446" s="8" t="n">
        <x:v>45670</x:v>
      </x:c>
      <x:c r="B446" s="7" t="str">
        <x:v>US_EQ</x:v>
      </x:c>
      <x:c r="C446" s="7" t="n">
        <x:v>251.2991926217</x:v>
      </x:c>
      <x:c r="D446" s="7" t="n">
        <x:v>251.2991926217</x:v>
      </x:c>
      <x:c r="E446" s="7" t="str">
        <x:v>SYNTHETIC: seeded teaching dataset; not observed market data</x:v>
      </x:c>
      <x:c r="F446" s="7" t="n">
        <x:v>46266</x:v>
      </x:c>
    </x:row>
    <x:row r="447" ht="22" customHeight="1">
      <x:c r="A447" s="8" t="n">
        <x:v>45671</x:v>
      </x:c>
      <x:c r="B447" s="7" t="str">
        <x:v>US_EQ</x:v>
      </x:c>
      <x:c r="C447" s="7" t="n">
        <x:v>252.7466537969</x:v>
      </x:c>
      <x:c r="D447" s="7" t="n">
        <x:v>252.7466537969</x:v>
      </x:c>
      <x:c r="E447" s="7" t="str">
        <x:v>SYNTHETIC: seeded teaching dataset; not observed market data</x:v>
      </x:c>
      <x:c r="F447" s="7" t="n">
        <x:v>46266</x:v>
      </x:c>
    </x:row>
    <x:row r="448" ht="22" customHeight="1">
      <x:c r="A448" s="8" t="n">
        <x:v>45672</x:v>
      </x:c>
      <x:c r="B448" s="7" t="str">
        <x:v>US_EQ</x:v>
      </x:c>
      <x:c r="C448" s="7" t="n">
        <x:v>259.4266819426</x:v>
      </x:c>
      <x:c r="D448" s="7" t="n">
        <x:v>259.4266819426</x:v>
      </x:c>
      <x:c r="E448" s="7" t="str">
        <x:v>SYNTHETIC: seeded teaching dataset; not observed market data</x:v>
      </x:c>
      <x:c r="F448" s="7" t="n">
        <x:v>46266</x:v>
      </x:c>
    </x:row>
    <x:row r="449" ht="22" customHeight="1">
      <x:c r="A449" s="8" t="n">
        <x:v>45673</x:v>
      </x:c>
      <x:c r="B449" s="7" t="str">
        <x:v>US_EQ</x:v>
      </x:c>
      <x:c r="C449" s="7" t="n">
        <x:v>255.242079358</x:v>
      </x:c>
      <x:c r="D449" s="7" t="n">
        <x:v>255.242079358</x:v>
      </x:c>
      <x:c r="E449" s="7" t="str">
        <x:v>SYNTHETIC: seeded teaching dataset; not observed market data</x:v>
      </x:c>
      <x:c r="F449" s="7" t="n">
        <x:v>46266</x:v>
      </x:c>
    </x:row>
    <x:row r="450" ht="22" customHeight="1">
      <x:c r="A450" s="8" t="n">
        <x:v>45674</x:v>
      </x:c>
      <x:c r="B450" s="7" t="str">
        <x:v>US_EQ</x:v>
      </x:c>
      <x:c r="C450" s="7" t="n">
        <x:v>256.5257209863</x:v>
      </x:c>
      <x:c r="D450" s="7" t="n">
        <x:v>256.5257209863</x:v>
      </x:c>
      <x:c r="E450" s="7" t="str">
        <x:v>SYNTHETIC: seeded teaching dataset; not observed market data</x:v>
      </x:c>
      <x:c r="F450" s="7" t="n">
        <x:v>46266</x:v>
      </x:c>
    </x:row>
    <x:row r="451" ht="22" customHeight="1">
      <x:c r="A451" s="8" t="n">
        <x:v>45677</x:v>
      </x:c>
      <x:c r="B451" s="7" t="str">
        <x:v>US_EQ</x:v>
      </x:c>
      <x:c r="C451" s="7" t="n">
        <x:v>255.1882517823</x:v>
      </x:c>
      <x:c r="D451" s="7" t="n">
        <x:v>255.1882517823</x:v>
      </x:c>
      <x:c r="E451" s="7" t="str">
        <x:v>SYNTHETIC: seeded teaching dataset; not observed market data</x:v>
      </x:c>
      <x:c r="F451" s="7" t="n">
        <x:v>46266</x:v>
      </x:c>
    </x:row>
    <x:row r="452" ht="22" customHeight="1">
      <x:c r="A452" s="8" t="n">
        <x:v>45678</x:v>
      </x:c>
      <x:c r="B452" s="7" t="str">
        <x:v>US_EQ</x:v>
      </x:c>
      <x:c r="C452" s="7" t="n">
        <x:v>253.7521237741</x:v>
      </x:c>
      <x:c r="D452" s="7" t="n">
        <x:v>253.7521237741</x:v>
      </x:c>
      <x:c r="E452" s="7" t="str">
        <x:v>SYNTHETIC: seeded teaching dataset; not observed market data</x:v>
      </x:c>
      <x:c r="F452" s="7" t="n">
        <x:v>46266</x:v>
      </x:c>
    </x:row>
    <x:row r="453" ht="22" customHeight="1">
      <x:c r="A453" s="8" t="n">
        <x:v>45679</x:v>
      </x:c>
      <x:c r="B453" s="7" t="str">
        <x:v>US_EQ</x:v>
      </x:c>
      <x:c r="C453" s="7" t="n">
        <x:v>251.3091386011</x:v>
      </x:c>
      <x:c r="D453" s="7" t="n">
        <x:v>251.3091386011</x:v>
      </x:c>
      <x:c r="E453" s="7" t="str">
        <x:v>SYNTHETIC: seeded teaching dataset; not observed market data</x:v>
      </x:c>
      <x:c r="F453" s="7" t="n">
        <x:v>46266</x:v>
      </x:c>
    </x:row>
    <x:row r="454" ht="22" customHeight="1">
      <x:c r="A454" s="8" t="n">
        <x:v>45680</x:v>
      </x:c>
      <x:c r="B454" s="7" t="str">
        <x:v>US_EQ</x:v>
      </x:c>
      <x:c r="C454" s="7" t="n">
        <x:v>250.807322337</x:v>
      </x:c>
      <x:c r="D454" s="7" t="n">
        <x:v>250.807322337</x:v>
      </x:c>
      <x:c r="E454" s="7" t="str">
        <x:v>SYNTHETIC: seeded teaching dataset; not observed market data</x:v>
      </x:c>
      <x:c r="F454" s="7" t="n">
        <x:v>46266</x:v>
      </x:c>
    </x:row>
    <x:row r="455" ht="22" customHeight="1">
      <x:c r="A455" s="8" t="n">
        <x:v>45681</x:v>
      </x:c>
      <x:c r="B455" s="7" t="str">
        <x:v>US_EQ</x:v>
      </x:c>
      <x:c r="C455" s="7" t="n">
        <x:v>253.4885654684</x:v>
      </x:c>
      <x:c r="D455" s="7" t="n">
        <x:v>253.4885654684</x:v>
      </x:c>
      <x:c r="E455" s="7" t="str">
        <x:v>SYNTHETIC: seeded teaching dataset; not observed market data</x:v>
      </x:c>
      <x:c r="F455" s="7" t="n">
        <x:v>46266</x:v>
      </x:c>
    </x:row>
    <x:row r="456" ht="22" customHeight="1">
      <x:c r="A456" s="8" t="n">
        <x:v>45684</x:v>
      </x:c>
      <x:c r="B456" s="7" t="str">
        <x:v>US_EQ</x:v>
      </x:c>
      <x:c r="C456" s="7" t="n">
        <x:v>254.7121826608</x:v>
      </x:c>
      <x:c r="D456" s="7" t="n">
        <x:v>254.7121826608</x:v>
      </x:c>
      <x:c r="E456" s="7" t="str">
        <x:v>SYNTHETIC: seeded teaching dataset; not observed market data</x:v>
      </x:c>
      <x:c r="F456" s="7" t="n">
        <x:v>46266</x:v>
      </x:c>
    </x:row>
    <x:row r="457" ht="22" customHeight="1">
      <x:c r="A457" s="8" t="n">
        <x:v>45685</x:v>
      </x:c>
      <x:c r="B457" s="7" t="str">
        <x:v>US_EQ</x:v>
      </x:c>
      <x:c r="C457" s="7" t="n">
        <x:v>256.9479060266</x:v>
      </x:c>
      <x:c r="D457" s="7" t="n">
        <x:v>256.9479060266</x:v>
      </x:c>
      <x:c r="E457" s="7" t="str">
        <x:v>SYNTHETIC: seeded teaching dataset; not observed market data</x:v>
      </x:c>
      <x:c r="F457" s="7" t="n">
        <x:v>46266</x:v>
      </x:c>
    </x:row>
    <x:row r="458" ht="22" customHeight="1">
      <x:c r="A458" s="8" t="n">
        <x:v>45686</x:v>
      </x:c>
      <x:c r="B458" s="7" t="str">
        <x:v>US_EQ</x:v>
      </x:c>
      <x:c r="C458" s="7" t="n">
        <x:v>255.877379435</x:v>
      </x:c>
      <x:c r="D458" s="7" t="n">
        <x:v>255.877379435</x:v>
      </x:c>
      <x:c r="E458" s="7" t="str">
        <x:v>SYNTHETIC: seeded teaching dataset; not observed market data</x:v>
      </x:c>
      <x:c r="F458" s="7" t="n">
        <x:v>46266</x:v>
      </x:c>
    </x:row>
    <x:row r="459" ht="22" customHeight="1">
      <x:c r="A459" s="8" t="n">
        <x:v>45687</x:v>
      </x:c>
      <x:c r="B459" s="7" t="str">
        <x:v>US_EQ</x:v>
      </x:c>
      <x:c r="C459" s="7" t="n">
        <x:v>256.6211119746</x:v>
      </x:c>
      <x:c r="D459" s="7" t="n">
        <x:v>256.6211119746</x:v>
      </x:c>
      <x:c r="E459" s="7" t="str">
        <x:v>SYNTHETIC: seeded teaching dataset; not observed market data</x:v>
      </x:c>
      <x:c r="F459" s="7" t="n">
        <x:v>46266</x:v>
      </x:c>
    </x:row>
    <x:row r="460" ht="22" customHeight="1">
      <x:c r="A460" s="8" t="n">
        <x:v>45688</x:v>
      </x:c>
      <x:c r="B460" s="7" t="str">
        <x:v>US_EQ</x:v>
      </x:c>
      <x:c r="C460" s="7" t="n">
        <x:v>254.2766992444</x:v>
      </x:c>
      <x:c r="D460" s="7" t="n">
        <x:v>254.2766992444</x:v>
      </x:c>
      <x:c r="E460" s="7" t="str">
        <x:v>SYNTHETIC: seeded teaching dataset; not observed market data</x:v>
      </x:c>
      <x:c r="F460" s="7" t="n">
        <x:v>46266</x:v>
      </x:c>
    </x:row>
    <x:row r="461" ht="22" customHeight="1">
      <x:c r="A461" s="8" t="n">
        <x:v>45691</x:v>
      </x:c>
      <x:c r="B461" s="7" t="str">
        <x:v>US_EQ</x:v>
      </x:c>
      <x:c r="C461" s="7" t="n">
        <x:v>257.1718259527</x:v>
      </x:c>
      <x:c r="D461" s="7" t="n">
        <x:v>257.1718259527</x:v>
      </x:c>
      <x:c r="E461" s="7" t="str">
        <x:v>SYNTHETIC: seeded teaching dataset; not observed market data</x:v>
      </x:c>
      <x:c r="F461" s="7" t="n">
        <x:v>46266</x:v>
      </x:c>
    </x:row>
    <x:row r="462" ht="22" customHeight="1">
      <x:c r="A462" s="8" t="n">
        <x:v>45692</x:v>
      </x:c>
      <x:c r="B462" s="7" t="str">
        <x:v>US_EQ</x:v>
      </x:c>
      <x:c r="C462" s="7" t="n">
        <x:v>260.9491018161</x:v>
      </x:c>
      <x:c r="D462" s="7" t="n">
        <x:v>260.9491018161</x:v>
      </x:c>
      <x:c r="E462" s="7" t="str">
        <x:v>SYNTHETIC: seeded teaching dataset; not observed market data</x:v>
      </x:c>
      <x:c r="F462" s="7" t="n">
        <x:v>46266</x:v>
      </x:c>
    </x:row>
    <x:row r="463" ht="22" customHeight="1">
      <x:c r="A463" s="8" t="n">
        <x:v>45693</x:v>
      </x:c>
      <x:c r="B463" s="7" t="str">
        <x:v>US_EQ</x:v>
      </x:c>
      <x:c r="C463" s="7" t="n">
        <x:v>259.7444727131</x:v>
      </x:c>
      <x:c r="D463" s="7" t="n">
        <x:v>259.7444727131</x:v>
      </x:c>
      <x:c r="E463" s="7" t="str">
        <x:v>SYNTHETIC: seeded teaching dataset; not observed market data</x:v>
      </x:c>
      <x:c r="F463" s="7" t="n">
        <x:v>46266</x:v>
      </x:c>
    </x:row>
    <x:row r="464" ht="22" customHeight="1">
      <x:c r="A464" s="8" t="n">
        <x:v>45694</x:v>
      </x:c>
      <x:c r="B464" s="7" t="str">
        <x:v>US_EQ</x:v>
      </x:c>
      <x:c r="C464" s="7" t="n">
        <x:v>261.4774941245</x:v>
      </x:c>
      <x:c r="D464" s="7" t="n">
        <x:v>261.4774941245</x:v>
      </x:c>
      <x:c r="E464" s="7" t="str">
        <x:v>SYNTHETIC: seeded teaching dataset; not observed market data</x:v>
      </x:c>
      <x:c r="F464" s="7" t="n">
        <x:v>46266</x:v>
      </x:c>
    </x:row>
    <x:row r="465" ht="22" customHeight="1">
      <x:c r="A465" s="8" t="n">
        <x:v>45695</x:v>
      </x:c>
      <x:c r="B465" s="7" t="str">
        <x:v>US_EQ</x:v>
      </x:c>
      <x:c r="C465" s="7" t="n">
        <x:v>262.0182818341</x:v>
      </x:c>
      <x:c r="D465" s="7" t="n">
        <x:v>262.0182818341</x:v>
      </x:c>
      <x:c r="E465" s="7" t="str">
        <x:v>SYNTHETIC: seeded teaching dataset; not observed market data</x:v>
      </x:c>
      <x:c r="F465" s="7" t="n">
        <x:v>46266</x:v>
      </x:c>
    </x:row>
    <x:row r="466" ht="22" customHeight="1">
      <x:c r="A466" s="8" t="n">
        <x:v>45698</x:v>
      </x:c>
      <x:c r="B466" s="7" t="str">
        <x:v>US_EQ</x:v>
      </x:c>
      <x:c r="C466" s="7" t="n">
        <x:v>264.5585434715</x:v>
      </x:c>
      <x:c r="D466" s="7" t="n">
        <x:v>264.5585434715</x:v>
      </x:c>
      <x:c r="E466" s="7" t="str">
        <x:v>SYNTHETIC: seeded teaching dataset; not observed market data</x:v>
      </x:c>
      <x:c r="F466" s="7" t="n">
        <x:v>46266</x:v>
      </x:c>
    </x:row>
    <x:row r="467" ht="22" customHeight="1">
      <x:c r="A467" s="8" t="n">
        <x:v>45699</x:v>
      </x:c>
      <x:c r="B467" s="7" t="str">
        <x:v>US_EQ</x:v>
      </x:c>
      <x:c r="C467" s="7" t="n">
        <x:v>266.9757395272</x:v>
      </x:c>
      <x:c r="D467" s="7" t="n">
        <x:v>266.9757395272</x:v>
      </x:c>
      <x:c r="E467" s="7" t="str">
        <x:v>SYNTHETIC: seeded teaching dataset; not observed market data</x:v>
      </x:c>
      <x:c r="F467" s="7" t="n">
        <x:v>46266</x:v>
      </x:c>
    </x:row>
    <x:row r="468" ht="22" customHeight="1">
      <x:c r="A468" s="8" t="n">
        <x:v>45700</x:v>
      </x:c>
      <x:c r="B468" s="7" t="str">
        <x:v>US_EQ</x:v>
      </x:c>
      <x:c r="C468" s="7" t="n">
        <x:v>267.1031039391</x:v>
      </x:c>
      <x:c r="D468" s="7" t="n">
        <x:v>267.1031039391</x:v>
      </x:c>
      <x:c r="E468" s="7" t="str">
        <x:v>SYNTHETIC: seeded teaching dataset; not observed market data</x:v>
      </x:c>
      <x:c r="F468" s="7" t="n">
        <x:v>46266</x:v>
      </x:c>
    </x:row>
    <x:row r="469" ht="22" customHeight="1">
      <x:c r="A469" s="8" t="n">
        <x:v>45701</x:v>
      </x:c>
      <x:c r="B469" s="7" t="str">
        <x:v>US_EQ</x:v>
      </x:c>
      <x:c r="C469" s="7" t="n">
        <x:v>263.8895359321</x:v>
      </x:c>
      <x:c r="D469" s="7" t="n">
        <x:v>263.8895359321</x:v>
      </x:c>
      <x:c r="E469" s="7" t="str">
        <x:v>SYNTHETIC: seeded teaching dataset; not observed market data</x:v>
      </x:c>
      <x:c r="F469" s="7" t="n">
        <x:v>46266</x:v>
      </x:c>
    </x:row>
    <x:row r="470" ht="22" customHeight="1">
      <x:c r="A470" s="8" t="n">
        <x:v>45702</x:v>
      </x:c>
      <x:c r="B470" s="7" t="str">
        <x:v>US_EQ</x:v>
      </x:c>
      <x:c r="C470" s="7" t="n">
        <x:v>268.0627497941</x:v>
      </x:c>
      <x:c r="D470" s="7" t="n">
        <x:v>268.0627497941</x:v>
      </x:c>
      <x:c r="E470" s="7" t="str">
        <x:v>SYNTHETIC: seeded teaching dataset; not observed market data</x:v>
      </x:c>
      <x:c r="F470" s="7" t="n">
        <x:v>46266</x:v>
      </x:c>
    </x:row>
    <x:row r="471" ht="22" customHeight="1">
      <x:c r="A471" s="8" t="n">
        <x:v>45705</x:v>
      </x:c>
      <x:c r="B471" s="7" t="str">
        <x:v>US_EQ</x:v>
      </x:c>
      <x:c r="C471" s="7" t="n">
        <x:v>268.8356946245</x:v>
      </x:c>
      <x:c r="D471" s="7" t="n">
        <x:v>268.8356946245</x:v>
      </x:c>
      <x:c r="E471" s="7" t="str">
        <x:v>SYNTHETIC: seeded teaching dataset; not observed market data</x:v>
      </x:c>
      <x:c r="F471" s="7" t="n">
        <x:v>46266</x:v>
      </x:c>
    </x:row>
    <x:row r="472" ht="22" customHeight="1">
      <x:c r="A472" s="8" t="n">
        <x:v>45706</x:v>
      </x:c>
      <x:c r="B472" s="7" t="str">
        <x:v>US_EQ</x:v>
      </x:c>
      <x:c r="C472" s="7" t="n">
        <x:v>266.0627298322</x:v>
      </x:c>
      <x:c r="D472" s="7" t="n">
        <x:v>266.0627298322</x:v>
      </x:c>
      <x:c r="E472" s="7" t="str">
        <x:v>SYNTHETIC: seeded teaching dataset; not observed market data</x:v>
      </x:c>
      <x:c r="F472" s="7" t="n">
        <x:v>46266</x:v>
      </x:c>
    </x:row>
    <x:row r="473" ht="22" customHeight="1">
      <x:c r="A473" s="8" t="n">
        <x:v>45707</x:v>
      </x:c>
      <x:c r="B473" s="7" t="str">
        <x:v>US_EQ</x:v>
      </x:c>
      <x:c r="C473" s="7" t="n">
        <x:v>262.6225143169</x:v>
      </x:c>
      <x:c r="D473" s="7" t="n">
        <x:v>262.6225143169</x:v>
      </x:c>
      <x:c r="E473" s="7" t="str">
        <x:v>SYNTHETIC: seeded teaching dataset; not observed market data</x:v>
      </x:c>
      <x:c r="F473" s="7" t="n">
        <x:v>46266</x:v>
      </x:c>
    </x:row>
    <x:row r="474" ht="22" customHeight="1">
      <x:c r="A474" s="8" t="n">
        <x:v>45708</x:v>
      </x:c>
      <x:c r="B474" s="7" t="str">
        <x:v>US_EQ</x:v>
      </x:c>
      <x:c r="C474" s="7" t="n">
        <x:v>265.9618986612</x:v>
      </x:c>
      <x:c r="D474" s="7" t="n">
        <x:v>265.9618986612</x:v>
      </x:c>
      <x:c r="E474" s="7" t="str">
        <x:v>SYNTHETIC: seeded teaching dataset; not observed market data</x:v>
      </x:c>
      <x:c r="F474" s="7" t="n">
        <x:v>46266</x:v>
      </x:c>
    </x:row>
    <x:row r="475" ht="22" customHeight="1">
      <x:c r="A475" s="8" t="n">
        <x:v>45709</x:v>
      </x:c>
      <x:c r="B475" s="7" t="str">
        <x:v>US_EQ</x:v>
      </x:c>
      <x:c r="C475" s="7" t="n">
        <x:v>264.1998173267</x:v>
      </x:c>
      <x:c r="D475" s="7" t="n">
        <x:v>264.1998173267</x:v>
      </x:c>
      <x:c r="E475" s="7" t="str">
        <x:v>SYNTHETIC: seeded teaching dataset; not observed market data</x:v>
      </x:c>
      <x:c r="F475" s="7" t="n">
        <x:v>46266</x:v>
      </x:c>
    </x:row>
    <x:row r="476" ht="22" customHeight="1">
      <x:c r="A476" s="8" t="n">
        <x:v>45712</x:v>
      </x:c>
      <x:c r="B476" s="7" t="str">
        <x:v>US_EQ</x:v>
      </x:c>
      <x:c r="C476" s="7" t="n">
        <x:v>263.1461776514</x:v>
      </x:c>
      <x:c r="D476" s="7" t="n">
        <x:v>263.1461776514</x:v>
      </x:c>
      <x:c r="E476" s="7" t="str">
        <x:v>SYNTHETIC: seeded teaching dataset; not observed market data</x:v>
      </x:c>
      <x:c r="F476" s="7" t="n">
        <x:v>46266</x:v>
      </x:c>
    </x:row>
    <x:row r="477" ht="22" customHeight="1">
      <x:c r="A477" s="8" t="n">
        <x:v>45713</x:v>
      </x:c>
      <x:c r="B477" s="7" t="str">
        <x:v>US_EQ</x:v>
      </x:c>
      <x:c r="C477" s="7" t="n">
        <x:v>265.6895904359</x:v>
      </x:c>
      <x:c r="D477" s="7" t="n">
        <x:v>265.6895904359</x:v>
      </x:c>
      <x:c r="E477" s="7" t="str">
        <x:v>SYNTHETIC: seeded teaching dataset; not observed market data</x:v>
      </x:c>
      <x:c r="F477" s="7" t="n">
        <x:v>46266</x:v>
      </x:c>
    </x:row>
    <x:row r="478" ht="22" customHeight="1">
      <x:c r="A478" s="8" t="n">
        <x:v>45714</x:v>
      </x:c>
      <x:c r="B478" s="7" t="str">
        <x:v>US_EQ</x:v>
      </x:c>
      <x:c r="C478" s="7" t="n">
        <x:v>264.6826918534</x:v>
      </x:c>
      <x:c r="D478" s="7" t="n">
        <x:v>264.6826918534</x:v>
      </x:c>
      <x:c r="E478" s="7" t="str">
        <x:v>SYNTHETIC: seeded teaching dataset; not observed market data</x:v>
      </x:c>
      <x:c r="F478" s="7" t="n">
        <x:v>46266</x:v>
      </x:c>
    </x:row>
    <x:row r="479" ht="22" customHeight="1">
      <x:c r="A479" s="8" t="n">
        <x:v>45715</x:v>
      </x:c>
      <x:c r="B479" s="7" t="str">
        <x:v>US_EQ</x:v>
      </x:c>
      <x:c r="C479" s="7" t="n">
        <x:v>261.7096720359</x:v>
      </x:c>
      <x:c r="D479" s="7" t="n">
        <x:v>261.7096720359</x:v>
      </x:c>
      <x:c r="E479" s="7" t="str">
        <x:v>SYNTHETIC: seeded teaching dataset; not observed market data</x:v>
      </x:c>
      <x:c r="F479" s="7" t="n">
        <x:v>46266</x:v>
      </x:c>
    </x:row>
    <x:row r="480" ht="22" customHeight="1">
      <x:c r="A480" s="8" t="n">
        <x:v>45716</x:v>
      </x:c>
      <x:c r="B480" s="7" t="str">
        <x:v>US_EQ</x:v>
      </x:c>
      <x:c r="C480" s="7" t="n">
        <x:v>267.1651507346</x:v>
      </x:c>
      <x:c r="D480" s="7" t="n">
        <x:v>267.1651507346</x:v>
      </x:c>
      <x:c r="E480" s="7" t="str">
        <x:v>SYNTHETIC: seeded teaching dataset; not observed market data</x:v>
      </x:c>
      <x:c r="F480" s="7" t="n">
        <x:v>46266</x:v>
      </x:c>
    </x:row>
    <x:row r="481" ht="22" customHeight="1">
      <x:c r="A481" s="8" t="n">
        <x:v>45719</x:v>
      </x:c>
      <x:c r="B481" s="7" t="str">
        <x:v>US_EQ</x:v>
      </x:c>
      <x:c r="C481" s="7" t="n">
        <x:v>266.8835349948</x:v>
      </x:c>
      <x:c r="D481" s="7" t="n">
        <x:v>266.8835349948</x:v>
      </x:c>
      <x:c r="E481" s="7" t="str">
        <x:v>SYNTHETIC: seeded teaching dataset; not observed market data</x:v>
      </x:c>
      <x:c r="F481" s="7" t="n">
        <x:v>46266</x:v>
      </x:c>
    </x:row>
    <x:row r="482" ht="22" customHeight="1">
      <x:c r="A482" s="8" t="n">
        <x:v>45720</x:v>
      </x:c>
      <x:c r="B482" s="7" t="str">
        <x:v>US_EQ</x:v>
      </x:c>
      <x:c r="C482" s="7" t="n">
        <x:v>261.2428446368</x:v>
      </x:c>
      <x:c r="D482" s="7" t="n">
        <x:v>261.2428446368</x:v>
      </x:c>
      <x:c r="E482" s="7" t="str">
        <x:v>SYNTHETIC: seeded teaching dataset; not observed market data</x:v>
      </x:c>
      <x:c r="F482" s="7" t="n">
        <x:v>46266</x:v>
      </x:c>
    </x:row>
    <x:row r="483" ht="22" customHeight="1">
      <x:c r="A483" s="8" t="n">
        <x:v>45721</x:v>
      </x:c>
      <x:c r="B483" s="7" t="str">
        <x:v>US_EQ</x:v>
      </x:c>
      <x:c r="C483" s="7" t="n">
        <x:v>263.8788240782</x:v>
      </x:c>
      <x:c r="D483" s="7" t="n">
        <x:v>263.8788240782</x:v>
      </x:c>
      <x:c r="E483" s="7" t="str">
        <x:v>SYNTHETIC: seeded teaching dataset; not observed market data</x:v>
      </x:c>
      <x:c r="F483" s="7" t="n">
        <x:v>46266</x:v>
      </x:c>
    </x:row>
    <x:row r="484" ht="22" customHeight="1">
      <x:c r="A484" s="8" t="n">
        <x:v>45722</x:v>
      </x:c>
      <x:c r="B484" s="7" t="str">
        <x:v>US_EQ</x:v>
      </x:c>
      <x:c r="C484" s="7" t="n">
        <x:v>267.492825284</x:v>
      </x:c>
      <x:c r="D484" s="7" t="n">
        <x:v>267.492825284</x:v>
      </x:c>
      <x:c r="E484" s="7" t="str">
        <x:v>SYNTHETIC: seeded teaching dataset; not observed market data</x:v>
      </x:c>
      <x:c r="F484" s="7" t="n">
        <x:v>46266</x:v>
      </x:c>
    </x:row>
    <x:row r="485" ht="22" customHeight="1">
      <x:c r="A485" s="8" t="n">
        <x:v>45723</x:v>
      </x:c>
      <x:c r="B485" s="7" t="str">
        <x:v>US_EQ</x:v>
      </x:c>
      <x:c r="C485" s="7" t="n">
        <x:v>266.3915552358</x:v>
      </x:c>
      <x:c r="D485" s="7" t="n">
        <x:v>266.3915552358</x:v>
      </x:c>
      <x:c r="E485" s="7" t="str">
        <x:v>SYNTHETIC: seeded teaching dataset; not observed market data</x:v>
      </x:c>
      <x:c r="F485" s="7" t="n">
        <x:v>46266</x:v>
      </x:c>
    </x:row>
    <x:row r="486" ht="22" customHeight="1">
      <x:c r="A486" s="8" t="n">
        <x:v>45726</x:v>
      </x:c>
      <x:c r="B486" s="7" t="str">
        <x:v>US_EQ</x:v>
      </x:c>
      <x:c r="C486" s="7" t="n">
        <x:v>272.1605192843</x:v>
      </x:c>
      <x:c r="D486" s="7" t="n">
        <x:v>272.1605192843</x:v>
      </x:c>
      <x:c r="E486" s="7" t="str">
        <x:v>SYNTHETIC: seeded teaching dataset; not observed market data</x:v>
      </x:c>
      <x:c r="F486" s="7" t="n">
        <x:v>46266</x:v>
      </x:c>
    </x:row>
    <x:row r="487" ht="22" customHeight="1">
      <x:c r="A487" s="8" t="n">
        <x:v>45727</x:v>
      </x:c>
      <x:c r="B487" s="7" t="str">
        <x:v>US_EQ</x:v>
      </x:c>
      <x:c r="C487" s="7" t="n">
        <x:v>277.1304660636</x:v>
      </x:c>
      <x:c r="D487" s="7" t="n">
        <x:v>277.1304660636</x:v>
      </x:c>
      <x:c r="E487" s="7" t="str">
        <x:v>SYNTHETIC: seeded teaching dataset; not observed market data</x:v>
      </x:c>
      <x:c r="F487" s="7" t="n">
        <x:v>46266</x:v>
      </x:c>
    </x:row>
    <x:row r="488" ht="22" customHeight="1">
      <x:c r="A488" s="8" t="n">
        <x:v>45728</x:v>
      </x:c>
      <x:c r="B488" s="7" t="str">
        <x:v>US_EQ</x:v>
      </x:c>
      <x:c r="C488" s="7" t="n">
        <x:v>284.9433703898</x:v>
      </x:c>
      <x:c r="D488" s="7" t="n">
        <x:v>284.9433703898</x:v>
      </x:c>
      <x:c r="E488" s="7" t="str">
        <x:v>SYNTHETIC: seeded teaching dataset; not observed market data</x:v>
      </x:c>
      <x:c r="F488" s="7" t="n">
        <x:v>46266</x:v>
      </x:c>
    </x:row>
    <x:row r="489" ht="22" customHeight="1">
      <x:c r="A489" s="8" t="n">
        <x:v>45729</x:v>
      </x:c>
      <x:c r="B489" s="7" t="str">
        <x:v>US_EQ</x:v>
      </x:c>
      <x:c r="C489" s="7" t="n">
        <x:v>285.4027309525</x:v>
      </x:c>
      <x:c r="D489" s="7" t="n">
        <x:v>285.4027309525</x:v>
      </x:c>
      <x:c r="E489" s="7" t="str">
        <x:v>SYNTHETIC: seeded teaching dataset; not observed market data</x:v>
      </x:c>
      <x:c r="F489" s="7" t="n">
        <x:v>46266</x:v>
      </x:c>
    </x:row>
    <x:row r="490" ht="22" customHeight="1">
      <x:c r="A490" s="8" t="n">
        <x:v>45730</x:v>
      </x:c>
      <x:c r="B490" s="7" t="str">
        <x:v>US_EQ</x:v>
      </x:c>
      <x:c r="C490" s="7" t="n">
        <x:v>283.2929729689</x:v>
      </x:c>
      <x:c r="D490" s="7" t="n">
        <x:v>283.2929729689</x:v>
      </x:c>
      <x:c r="E490" s="7" t="str">
        <x:v>SYNTHETIC: seeded teaching dataset; not observed market data</x:v>
      </x:c>
      <x:c r="F490" s="7" t="n">
        <x:v>46266</x:v>
      </x:c>
    </x:row>
    <x:row r="491" ht="22" customHeight="1">
      <x:c r="A491" s="8" t="n">
        <x:v>45733</x:v>
      </x:c>
      <x:c r="B491" s="7" t="str">
        <x:v>US_EQ</x:v>
      </x:c>
      <x:c r="C491" s="7" t="n">
        <x:v>283.8687071544</x:v>
      </x:c>
      <x:c r="D491" s="7" t="n">
        <x:v>283.8687071544</x:v>
      </x:c>
      <x:c r="E491" s="7" t="str">
        <x:v>SYNTHETIC: seeded teaching dataset; not observed market data</x:v>
      </x:c>
      <x:c r="F491" s="7" t="n">
        <x:v>46266</x:v>
      </x:c>
    </x:row>
    <x:row r="492" ht="22" customHeight="1">
      <x:c r="A492" s="8" t="n">
        <x:v>45734</x:v>
      </x:c>
      <x:c r="B492" s="7" t="str">
        <x:v>US_EQ</x:v>
      </x:c>
      <x:c r="C492" s="7" t="n">
        <x:v>283.2706719369</x:v>
      </x:c>
      <x:c r="D492" s="7" t="n">
        <x:v>283.2706719369</x:v>
      </x:c>
      <x:c r="E492" s="7" t="str">
        <x:v>SYNTHETIC: seeded teaching dataset; not observed market data</x:v>
      </x:c>
      <x:c r="F492" s="7" t="n">
        <x:v>46266</x:v>
      </x:c>
    </x:row>
    <x:row r="493" ht="22" customHeight="1">
      <x:c r="A493" s="8" t="n">
        <x:v>45735</x:v>
      </x:c>
      <x:c r="B493" s="7" t="str">
        <x:v>US_EQ</x:v>
      </x:c>
      <x:c r="C493" s="7" t="n">
        <x:v>282.4954892618</x:v>
      </x:c>
      <x:c r="D493" s="7" t="n">
        <x:v>282.4954892618</x:v>
      </x:c>
      <x:c r="E493" s="7" t="str">
        <x:v>SYNTHETIC: seeded teaching dataset; not observed market data</x:v>
      </x:c>
      <x:c r="F493" s="7" t="n">
        <x:v>46266</x:v>
      </x:c>
    </x:row>
    <x:row r="494" ht="22" customHeight="1">
      <x:c r="A494" s="8" t="n">
        <x:v>45736</x:v>
      </x:c>
      <x:c r="B494" s="7" t="str">
        <x:v>US_EQ</x:v>
      </x:c>
      <x:c r="C494" s="7" t="n">
        <x:v>285.19063571</x:v>
      </x:c>
      <x:c r="D494" s="7" t="n">
        <x:v>285.19063571</x:v>
      </x:c>
      <x:c r="E494" s="7" t="str">
        <x:v>SYNTHETIC: seeded teaching dataset; not observed market data</x:v>
      </x:c>
      <x:c r="F494" s="7" t="n">
        <x:v>46266</x:v>
      </x:c>
    </x:row>
    <x:row r="495" ht="22" customHeight="1">
      <x:c r="A495" s="8" t="n">
        <x:v>45737</x:v>
      </x:c>
      <x:c r="B495" s="7" t="str">
        <x:v>US_EQ</x:v>
      </x:c>
      <x:c r="C495" s="7" t="n">
        <x:v>279.7762930737</x:v>
      </x:c>
      <x:c r="D495" s="7" t="n">
        <x:v>279.7762930737</x:v>
      </x:c>
      <x:c r="E495" s="7" t="str">
        <x:v>SYNTHETIC: seeded teaching dataset; not observed market data</x:v>
      </x:c>
      <x:c r="F495" s="7" t="n">
        <x:v>46266</x:v>
      </x:c>
    </x:row>
    <x:row r="496" ht="22" customHeight="1">
      <x:c r="A496" s="8" t="n">
        <x:v>45740</x:v>
      </x:c>
      <x:c r="B496" s="7" t="str">
        <x:v>US_EQ</x:v>
      </x:c>
      <x:c r="C496" s="7" t="n">
        <x:v>277.5904084716</x:v>
      </x:c>
      <x:c r="D496" s="7" t="n">
        <x:v>277.5904084716</x:v>
      </x:c>
      <x:c r="E496" s="7" t="str">
        <x:v>SYNTHETIC: seeded teaching dataset; not observed market data</x:v>
      </x:c>
      <x:c r="F496" s="7" t="n">
        <x:v>46266</x:v>
      </x:c>
    </x:row>
    <x:row r="497" ht="22" customHeight="1">
      <x:c r="A497" s="8" t="n">
        <x:v>45741</x:v>
      </x:c>
      <x:c r="B497" s="7" t="str">
        <x:v>US_EQ</x:v>
      </x:c>
      <x:c r="C497" s="7" t="n">
        <x:v>274.7724477756</x:v>
      </x:c>
      <x:c r="D497" s="7" t="n">
        <x:v>274.7724477756</x:v>
      </x:c>
      <x:c r="E497" s="7" t="str">
        <x:v>SYNTHETIC: seeded teaching dataset; not observed market data</x:v>
      </x:c>
      <x:c r="F497" s="7" t="n">
        <x:v>46266</x:v>
      </x:c>
    </x:row>
    <x:row r="498" ht="22" customHeight="1">
      <x:c r="A498" s="8" t="n">
        <x:v>45742</x:v>
      </x:c>
      <x:c r="B498" s="7" t="str">
        <x:v>US_EQ</x:v>
      </x:c>
      <x:c r="C498" s="7" t="n">
        <x:v>274.5539379293</x:v>
      </x:c>
      <x:c r="D498" s="7" t="n">
        <x:v>274.5539379293</x:v>
      </x:c>
      <x:c r="E498" s="7" t="str">
        <x:v>SYNTHETIC: seeded teaching dataset; not observed market data</x:v>
      </x:c>
      <x:c r="F498" s="7" t="n">
        <x:v>46266</x:v>
      </x:c>
    </x:row>
    <x:row r="499" ht="22" customHeight="1">
      <x:c r="A499" s="8" t="n">
        <x:v>45743</x:v>
      </x:c>
      <x:c r="B499" s="7" t="str">
        <x:v>US_EQ</x:v>
      </x:c>
      <x:c r="C499" s="7" t="n">
        <x:v>276.0304015538</x:v>
      </x:c>
      <x:c r="D499" s="7" t="n">
        <x:v>276.0304015538</x:v>
      </x:c>
      <x:c r="E499" s="7" t="str">
        <x:v>SYNTHETIC: seeded teaching dataset; not observed market data</x:v>
      </x:c>
      <x:c r="F499" s="7" t="n">
        <x:v>46266</x:v>
      </x:c>
    </x:row>
    <x:row r="500" ht="22" customHeight="1">
      <x:c r="A500" s="8" t="n">
        <x:v>45744</x:v>
      </x:c>
      <x:c r="B500" s="7" t="str">
        <x:v>US_EQ</x:v>
      </x:c>
      <x:c r="C500" s="7" t="n">
        <x:v>284.7746890239</x:v>
      </x:c>
      <x:c r="D500" s="7" t="n">
        <x:v>284.7746890239</x:v>
      </x:c>
      <x:c r="E500" s="7" t="str">
        <x:v>SYNTHETIC: seeded teaching dataset; not observed market data</x:v>
      </x:c>
      <x:c r="F500" s="7" t="n">
        <x:v>46266</x:v>
      </x:c>
    </x:row>
    <x:row r="501" ht="22" customHeight="1">
      <x:c r="A501" s="8" t="n">
        <x:v>45747</x:v>
      </x:c>
      <x:c r="B501" s="7" t="str">
        <x:v>US_EQ</x:v>
      </x:c>
      <x:c r="C501" s="7" t="n">
        <x:v>286.9287086096</x:v>
      </x:c>
      <x:c r="D501" s="7" t="n">
        <x:v>286.9287086096</x:v>
      </x:c>
      <x:c r="E501" s="7" t="str">
        <x:v>SYNTHETIC: seeded teaching dataset; not observed market data</x:v>
      </x:c>
      <x:c r="F501" s="7" t="n">
        <x:v>46266</x:v>
      </x:c>
    </x:row>
    <x:row r="502" ht="22" customHeight="1">
      <x:c r="A502" s="8" t="n">
        <x:v>45748</x:v>
      </x:c>
      <x:c r="B502" s="7" t="str">
        <x:v>US_EQ</x:v>
      </x:c>
      <x:c r="C502" s="7" t="n">
        <x:v>279.5587646317</x:v>
      </x:c>
      <x:c r="D502" s="7" t="n">
        <x:v>279.5587646317</x:v>
      </x:c>
      <x:c r="E502" s="7" t="str">
        <x:v>SYNTHETIC: seeded teaching dataset; not observed market data</x:v>
      </x:c>
      <x:c r="F502" s="7" t="n">
        <x:v>46266</x:v>
      </x:c>
    </x:row>
    <x:row r="503" ht="22" customHeight="1">
      <x:c r="A503" s="8" t="n">
        <x:v>45749</x:v>
      </x:c>
      <x:c r="B503" s="7" t="str">
        <x:v>US_EQ</x:v>
      </x:c>
      <x:c r="C503" s="7" t="n">
        <x:v>271.9234224512</x:v>
      </x:c>
      <x:c r="D503" s="7" t="n">
        <x:v>271.9234224512</x:v>
      </x:c>
      <x:c r="E503" s="7" t="str">
        <x:v>SYNTHETIC: seeded teaching dataset; not observed market data</x:v>
      </x:c>
      <x:c r="F503" s="7" t="n">
        <x:v>46266</x:v>
      </x:c>
    </x:row>
    <x:row r="504" ht="22" customHeight="1">
      <x:c r="A504" s="8" t="n">
        <x:v>45750</x:v>
      </x:c>
      <x:c r="B504" s="7" t="str">
        <x:v>US_EQ</x:v>
      </x:c>
      <x:c r="C504" s="7" t="n">
        <x:v>268.9199059468</x:v>
      </x:c>
      <x:c r="D504" s="7" t="n">
        <x:v>268.9199059468</x:v>
      </x:c>
      <x:c r="E504" s="7" t="str">
        <x:v>SYNTHETIC: seeded teaching dataset; not observed market data</x:v>
      </x:c>
      <x:c r="F504" s="7" t="n">
        <x:v>46266</x:v>
      </x:c>
    </x:row>
    <x:row r="505" ht="22" customHeight="1">
      <x:c r="A505" s="8" t="n">
        <x:v>45751</x:v>
      </x:c>
      <x:c r="B505" s="7" t="str">
        <x:v>US_EQ</x:v>
      </x:c>
      <x:c r="C505" s="7" t="n">
        <x:v>268.9337079527</x:v>
      </x:c>
      <x:c r="D505" s="7" t="n">
        <x:v>268.9337079527</x:v>
      </x:c>
      <x:c r="E505" s="7" t="str">
        <x:v>SYNTHETIC: seeded teaching dataset; not observed market data</x:v>
      </x:c>
      <x:c r="F505" s="7" t="n">
        <x:v>46266</x:v>
      </x:c>
    </x:row>
    <x:row r="506" ht="22" customHeight="1">
      <x:c r="A506" s="8" t="n">
        <x:v>45754</x:v>
      </x:c>
      <x:c r="B506" s="7" t="str">
        <x:v>US_EQ</x:v>
      </x:c>
      <x:c r="C506" s="7" t="n">
        <x:v>269.7363806285</x:v>
      </x:c>
      <x:c r="D506" s="7" t="n">
        <x:v>269.7363806285</x:v>
      </x:c>
      <x:c r="E506" s="7" t="str">
        <x:v>SYNTHETIC: seeded teaching dataset; not observed market data</x:v>
      </x:c>
      <x:c r="F506" s="7" t="n">
        <x:v>46266</x:v>
      </x:c>
    </x:row>
    <x:row r="507" ht="22" customHeight="1">
      <x:c r="A507" s="8" t="n">
        <x:v>45755</x:v>
      </x:c>
      <x:c r="B507" s="7" t="str">
        <x:v>US_EQ</x:v>
      </x:c>
      <x:c r="C507" s="7" t="n">
        <x:v>271.6979671624</x:v>
      </x:c>
      <x:c r="D507" s="7" t="n">
        <x:v>271.6979671624</x:v>
      </x:c>
      <x:c r="E507" s="7" t="str">
        <x:v>SYNTHETIC: seeded teaching dataset; not observed market data</x:v>
      </x:c>
      <x:c r="F507" s="7" t="n">
        <x:v>46266</x:v>
      </x:c>
    </x:row>
    <x:row r="508" ht="22" customHeight="1">
      <x:c r="A508" s="8" t="n">
        <x:v>45756</x:v>
      </x:c>
      <x:c r="B508" s="7" t="str">
        <x:v>US_EQ</x:v>
      </x:c>
      <x:c r="C508" s="7" t="n">
        <x:v>267.1904857023</x:v>
      </x:c>
      <x:c r="D508" s="7" t="n">
        <x:v>267.1904857023</x:v>
      </x:c>
      <x:c r="E508" s="7" t="str">
        <x:v>SYNTHETIC: seeded teaching dataset; not observed market data</x:v>
      </x:c>
      <x:c r="F508" s="7" t="n">
        <x:v>46266</x:v>
      </x:c>
    </x:row>
    <x:row r="509" ht="22" customHeight="1">
      <x:c r="A509" s="8" t="n">
        <x:v>45757</x:v>
      </x:c>
      <x:c r="B509" s="7" t="str">
        <x:v>US_EQ</x:v>
      </x:c>
      <x:c r="C509" s="7" t="n">
        <x:v>267.2495007884</x:v>
      </x:c>
      <x:c r="D509" s="7" t="n">
        <x:v>267.2495007884</x:v>
      </x:c>
      <x:c r="E509" s="7" t="str">
        <x:v>SYNTHETIC: seeded teaching dataset; not observed market data</x:v>
      </x:c>
      <x:c r="F509" s="7" t="n">
        <x:v>46266</x:v>
      </x:c>
    </x:row>
    <x:row r="510" ht="22" customHeight="1">
      <x:c r="A510" s="8" t="n">
        <x:v>45758</x:v>
      </x:c>
      <x:c r="B510" s="7" t="str">
        <x:v>US_EQ</x:v>
      </x:c>
      <x:c r="C510" s="7" t="n">
        <x:v>272.2128829823</x:v>
      </x:c>
      <x:c r="D510" s="7" t="n">
        <x:v>272.2128829823</x:v>
      </x:c>
      <x:c r="E510" s="7" t="str">
        <x:v>SYNTHETIC: seeded teaching dataset; not observed market data</x:v>
      </x:c>
      <x:c r="F510" s="7" t="n">
        <x:v>46266</x:v>
      </x:c>
    </x:row>
    <x:row r="511" ht="22" customHeight="1">
      <x:c r="A511" s="8" t="n">
        <x:v>45761</x:v>
      </x:c>
      <x:c r="B511" s="7" t="str">
        <x:v>US_EQ</x:v>
      </x:c>
      <x:c r="C511" s="7" t="n">
        <x:v>272.536629037</x:v>
      </x:c>
      <x:c r="D511" s="7" t="n">
        <x:v>272.536629037</x:v>
      </x:c>
      <x:c r="E511" s="7" t="str">
        <x:v>SYNTHETIC: seeded teaching dataset; not observed market data</x:v>
      </x:c>
      <x:c r="F511" s="7" t="n">
        <x:v>46266</x:v>
      </x:c>
    </x:row>
    <x:row r="512" ht="22" customHeight="1">
      <x:c r="A512" s="8" t="n">
        <x:v>45762</x:v>
      </x:c>
      <x:c r="B512" s="7" t="str">
        <x:v>US_EQ</x:v>
      </x:c>
      <x:c r="C512" s="7" t="n">
        <x:v>268.9547242025</x:v>
      </x:c>
      <x:c r="D512" s="7" t="n">
        <x:v>268.9547242025</x:v>
      </x:c>
      <x:c r="E512" s="7" t="str">
        <x:v>SYNTHETIC: seeded teaching dataset; not observed market data</x:v>
      </x:c>
      <x:c r="F512" s="7" t="n">
        <x:v>46266</x:v>
      </x:c>
    </x:row>
    <x:row r="513" ht="22" customHeight="1">
      <x:c r="A513" s="8" t="n">
        <x:v>45763</x:v>
      </x:c>
      <x:c r="B513" s="7" t="str">
        <x:v>US_EQ</x:v>
      </x:c>
      <x:c r="C513" s="7" t="n">
        <x:v>267.1633108674</x:v>
      </x:c>
      <x:c r="D513" s="7" t="n">
        <x:v>267.1633108674</x:v>
      </x:c>
      <x:c r="E513" s="7" t="str">
        <x:v>SYNTHETIC: seeded teaching dataset; not observed market data</x:v>
      </x:c>
      <x:c r="F513" s="7" t="n">
        <x:v>46266</x:v>
      </x:c>
    </x:row>
    <x:row r="514" ht="22" customHeight="1">
      <x:c r="A514" s="8" t="n">
        <x:v>45764</x:v>
      </x:c>
      <x:c r="B514" s="7" t="str">
        <x:v>US_EQ</x:v>
      </x:c>
      <x:c r="C514" s="7" t="n">
        <x:v>256.2973843971</x:v>
      </x:c>
      <x:c r="D514" s="7" t="n">
        <x:v>256.2973843971</x:v>
      </x:c>
      <x:c r="E514" s="7" t="str">
        <x:v>SYNTHETIC: seeded teaching dataset; not observed market data</x:v>
      </x:c>
      <x:c r="F514" s="7" t="n">
        <x:v>46266</x:v>
      </x:c>
    </x:row>
    <x:row r="515" ht="22" customHeight="1">
      <x:c r="A515" s="8" t="n">
        <x:v>45765</x:v>
      </x:c>
      <x:c r="B515" s="7" t="str">
        <x:v>US_EQ</x:v>
      </x:c>
      <x:c r="C515" s="7" t="n">
        <x:v>256.2593868499</x:v>
      </x:c>
      <x:c r="D515" s="7" t="n">
        <x:v>256.2593868499</x:v>
      </x:c>
      <x:c r="E515" s="7" t="str">
        <x:v>SYNTHETIC: seeded teaching dataset; not observed market data</x:v>
      </x:c>
      <x:c r="F515" s="7" t="n">
        <x:v>46266</x:v>
      </x:c>
    </x:row>
    <x:row r="516" ht="22" customHeight="1">
      <x:c r="A516" s="8" t="n">
        <x:v>45768</x:v>
      </x:c>
      <x:c r="B516" s="7" t="str">
        <x:v>US_EQ</x:v>
      </x:c>
      <x:c r="C516" s="7" t="n">
        <x:v>249.5768272601</x:v>
      </x:c>
      <x:c r="D516" s="7" t="n">
        <x:v>249.5768272601</x:v>
      </x:c>
      <x:c r="E516" s="7" t="str">
        <x:v>SYNTHETIC: seeded teaching dataset; not observed market data</x:v>
      </x:c>
      <x:c r="F516" s="7" t="n">
        <x:v>46266</x:v>
      </x:c>
    </x:row>
    <x:row r="517" ht="22" customHeight="1">
      <x:c r="A517" s="8" t="n">
        <x:v>45769</x:v>
      </x:c>
      <x:c r="B517" s="7" t="str">
        <x:v>US_EQ</x:v>
      </x:c>
      <x:c r="C517" s="7" t="n">
        <x:v>245.5899996392</x:v>
      </x:c>
      <x:c r="D517" s="7" t="n">
        <x:v>245.5899996392</x:v>
      </x:c>
      <x:c r="E517" s="7" t="str">
        <x:v>SYNTHETIC: seeded teaching dataset; not observed market data</x:v>
      </x:c>
      <x:c r="F517" s="7" t="n">
        <x:v>46266</x:v>
      </x:c>
    </x:row>
    <x:row r="518" ht="22" customHeight="1">
      <x:c r="A518" s="8" t="n">
        <x:v>45770</x:v>
      </x:c>
      <x:c r="B518" s="7" t="str">
        <x:v>US_EQ</x:v>
      </x:c>
      <x:c r="C518" s="7" t="n">
        <x:v>242.1466243439</x:v>
      </x:c>
      <x:c r="D518" s="7" t="n">
        <x:v>242.1466243439</x:v>
      </x:c>
      <x:c r="E518" s="7" t="str">
        <x:v>SYNTHETIC: seeded teaching dataset; not observed market data</x:v>
      </x:c>
      <x:c r="F518" s="7" t="n">
        <x:v>46266</x:v>
      </x:c>
    </x:row>
    <x:row r="519" ht="22" customHeight="1">
      <x:c r="A519" s="8" t="n">
        <x:v>45771</x:v>
      </x:c>
      <x:c r="B519" s="7" t="str">
        <x:v>US_EQ</x:v>
      </x:c>
      <x:c r="C519" s="7" t="n">
        <x:v>243.997948218</x:v>
      </x:c>
      <x:c r="D519" s="7" t="n">
        <x:v>243.997948218</x:v>
      </x:c>
      <x:c r="E519" s="7" t="str">
        <x:v>SYNTHETIC: seeded teaching dataset; not observed market data</x:v>
      </x:c>
      <x:c r="F519" s="7" t="n">
        <x:v>46266</x:v>
      </x:c>
    </x:row>
    <x:row r="520" ht="22" customHeight="1">
      <x:c r="A520" s="8" t="n">
        <x:v>45772</x:v>
      </x:c>
      <x:c r="B520" s="7" t="str">
        <x:v>US_EQ</x:v>
      </x:c>
      <x:c r="C520" s="7" t="n">
        <x:v>245.2968537833</x:v>
      </x:c>
      <x:c r="D520" s="7" t="n">
        <x:v>245.2968537833</x:v>
      </x:c>
      <x:c r="E520" s="7" t="str">
        <x:v>SYNTHETIC: seeded teaching dataset; not observed market data</x:v>
      </x:c>
      <x:c r="F520" s="7" t="n">
        <x:v>46266</x:v>
      </x:c>
    </x:row>
    <x:row r="521" ht="22" customHeight="1">
      <x:c r="A521" s="8" t="n">
        <x:v>45775</x:v>
      </x:c>
      <x:c r="B521" s="7" t="str">
        <x:v>US_EQ</x:v>
      </x:c>
      <x:c r="C521" s="7" t="n">
        <x:v>244.3700752162</x:v>
      </x:c>
      <x:c r="D521" s="7" t="n">
        <x:v>244.3700752162</x:v>
      </x:c>
      <x:c r="E521" s="7" t="str">
        <x:v>SYNTHETIC: seeded teaching dataset; not observed market data</x:v>
      </x:c>
      <x:c r="F521" s="7" t="n">
        <x:v>46266</x:v>
      </x:c>
    </x:row>
    <x:row r="522" ht="22" customHeight="1">
      <x:c r="A522" s="8" t="n">
        <x:v>45776</x:v>
      </x:c>
      <x:c r="B522" s="7" t="str">
        <x:v>US_EQ</x:v>
      </x:c>
      <x:c r="C522" s="7" t="n">
        <x:v>244.7331643409</x:v>
      </x:c>
      <x:c r="D522" s="7" t="n">
        <x:v>244.7331643409</x:v>
      </x:c>
      <x:c r="E522" s="7" t="str">
        <x:v>SYNTHETIC: seeded teaching dataset; not observed market data</x:v>
      </x:c>
      <x:c r="F522" s="7" t="n">
        <x:v>46266</x:v>
      </x:c>
    </x:row>
    <x:row r="523" ht="22" customHeight="1">
      <x:c r="A523" s="8" t="n">
        <x:v>45777</x:v>
      </x:c>
      <x:c r="B523" s="7" t="str">
        <x:v>US_EQ</x:v>
      </x:c>
      <x:c r="C523" s="7" t="n">
        <x:v>239.0532776319</x:v>
      </x:c>
      <x:c r="D523" s="7" t="n">
        <x:v>239.0532776319</x:v>
      </x:c>
      <x:c r="E523" s="7" t="str">
        <x:v>SYNTHETIC: seeded teaching dataset; not observed market data</x:v>
      </x:c>
      <x:c r="F523" s="7" t="n">
        <x:v>46266</x:v>
      </x:c>
    </x:row>
    <x:row r="524" ht="22" customHeight="1">
      <x:c r="A524" s="8" t="n">
        <x:v>45778</x:v>
      </x:c>
      <x:c r="B524" s="7" t="str">
        <x:v>US_EQ</x:v>
      </x:c>
      <x:c r="C524" s="7" t="n">
        <x:v>238.0078215671</x:v>
      </x:c>
      <x:c r="D524" s="7" t="n">
        <x:v>238.0078215671</x:v>
      </x:c>
      <x:c r="E524" s="7" t="str">
        <x:v>SYNTHETIC: seeded teaching dataset; not observed market data</x:v>
      </x:c>
      <x:c r="F524" s="7" t="n">
        <x:v>46266</x:v>
      </x:c>
    </x:row>
    <x:row r="525" ht="22" customHeight="1">
      <x:c r="A525" s="8" t="n">
        <x:v>45779</x:v>
      </x:c>
      <x:c r="B525" s="7" t="str">
        <x:v>US_EQ</x:v>
      </x:c>
      <x:c r="C525" s="7" t="n">
        <x:v>233.4964562763</x:v>
      </x:c>
      <x:c r="D525" s="7" t="n">
        <x:v>233.4964562763</x:v>
      </x:c>
      <x:c r="E525" s="7" t="str">
        <x:v>SYNTHETIC: seeded teaching dataset; not observed market data</x:v>
      </x:c>
      <x:c r="F525" s="7" t="n">
        <x:v>46266</x:v>
      </x:c>
    </x:row>
    <x:row r="526" ht="22" customHeight="1">
      <x:c r="A526" s="8" t="n">
        <x:v>45782</x:v>
      </x:c>
      <x:c r="B526" s="7" t="str">
        <x:v>US_EQ</x:v>
      </x:c>
      <x:c r="C526" s="7" t="n">
        <x:v>230.3971691524</x:v>
      </x:c>
      <x:c r="D526" s="7" t="n">
        <x:v>230.3971691524</x:v>
      </x:c>
      <x:c r="E526" s="7" t="str">
        <x:v>SYNTHETIC: seeded teaching dataset; not observed market data</x:v>
      </x:c>
      <x:c r="F526" s="7" t="n">
        <x:v>46266</x:v>
      </x:c>
    </x:row>
    <x:row r="527" ht="22" customHeight="1">
      <x:c r="A527" s="8" t="n">
        <x:v>45783</x:v>
      </x:c>
      <x:c r="B527" s="7" t="str">
        <x:v>US_EQ</x:v>
      </x:c>
      <x:c r="C527" s="7" t="n">
        <x:v>227.8716371552</x:v>
      </x:c>
      <x:c r="D527" s="7" t="n">
        <x:v>227.8716371552</x:v>
      </x:c>
      <x:c r="E527" s="7" t="str">
        <x:v>SYNTHETIC: seeded teaching dataset; not observed market data</x:v>
      </x:c>
      <x:c r="F527" s="7" t="n">
        <x:v>46266</x:v>
      </x:c>
    </x:row>
    <x:row r="528" ht="22" customHeight="1">
      <x:c r="A528" s="8" t="n">
        <x:v>45784</x:v>
      </x:c>
      <x:c r="B528" s="7" t="str">
        <x:v>US_EQ</x:v>
      </x:c>
      <x:c r="C528" s="7" t="n">
        <x:v>221.7245479905</x:v>
      </x:c>
      <x:c r="D528" s="7" t="n">
        <x:v>221.7245479905</x:v>
      </x:c>
      <x:c r="E528" s="7" t="str">
        <x:v>SYNTHETIC: seeded teaching dataset; not observed market data</x:v>
      </x:c>
      <x:c r="F528" s="7" t="n">
        <x:v>46266</x:v>
      </x:c>
    </x:row>
    <x:row r="529" ht="22" customHeight="1">
      <x:c r="A529" s="8" t="n">
        <x:v>45785</x:v>
      </x:c>
      <x:c r="B529" s="7" t="str">
        <x:v>US_EQ</x:v>
      </x:c>
      <x:c r="C529" s="7" t="n">
        <x:v>223.7343536943</x:v>
      </x:c>
      <x:c r="D529" s="7" t="n">
        <x:v>223.7343536943</x:v>
      </x:c>
      <x:c r="E529" s="7" t="str">
        <x:v>SYNTHETIC: seeded teaching dataset; not observed market data</x:v>
      </x:c>
      <x:c r="F529" s="7" t="n">
        <x:v>46266</x:v>
      </x:c>
    </x:row>
    <x:row r="530" ht="22" customHeight="1">
      <x:c r="A530" s="8" t="n">
        <x:v>45786</x:v>
      </x:c>
      <x:c r="B530" s="7" t="str">
        <x:v>US_EQ</x:v>
      </x:c>
      <x:c r="C530" s="7" t="n">
        <x:v>225.4387144969</x:v>
      </x:c>
      <x:c r="D530" s="7" t="n">
        <x:v>225.4387144969</x:v>
      </x:c>
      <x:c r="E530" s="7" t="str">
        <x:v>SYNTHETIC: seeded teaching dataset; not observed market data</x:v>
      </x:c>
      <x:c r="F530" s="7" t="n">
        <x:v>46266</x:v>
      </x:c>
    </x:row>
    <x:row r="531" ht="22" customHeight="1">
      <x:c r="A531" s="8" t="n">
        <x:v>45789</x:v>
      </x:c>
      <x:c r="B531" s="7" t="str">
        <x:v>US_EQ</x:v>
      </x:c>
      <x:c r="C531" s="7" t="n">
        <x:v>226.6659115319</x:v>
      </x:c>
      <x:c r="D531" s="7" t="n">
        <x:v>226.6659115319</x:v>
      </x:c>
      <x:c r="E531" s="7" t="str">
        <x:v>SYNTHETIC: seeded teaching dataset; not observed market data</x:v>
      </x:c>
      <x:c r="F531" s="7" t="n">
        <x:v>46266</x:v>
      </x:c>
    </x:row>
    <x:row r="532" ht="22" customHeight="1">
      <x:c r="A532" s="8" t="n">
        <x:v>45790</x:v>
      </x:c>
      <x:c r="B532" s="7" t="str">
        <x:v>US_EQ</x:v>
      </x:c>
      <x:c r="C532" s="7" t="n">
        <x:v>225.0693186639</x:v>
      </x:c>
      <x:c r="D532" s="7" t="n">
        <x:v>225.0693186639</x:v>
      </x:c>
      <x:c r="E532" s="7" t="str">
        <x:v>SYNTHETIC: seeded teaching dataset; not observed market data</x:v>
      </x:c>
      <x:c r="F532" s="7" t="n">
        <x:v>46266</x:v>
      </x:c>
    </x:row>
    <x:row r="533" ht="22" customHeight="1">
      <x:c r="A533" s="8" t="n">
        <x:v>45791</x:v>
      </x:c>
      <x:c r="B533" s="7" t="str">
        <x:v>US_EQ</x:v>
      </x:c>
      <x:c r="C533" s="7" t="n">
        <x:v>223.3982305861</x:v>
      </x:c>
      <x:c r="D533" s="7" t="n">
        <x:v>223.3982305861</x:v>
      </x:c>
      <x:c r="E533" s="7" t="str">
        <x:v>SYNTHETIC: seeded teaching dataset; not observed market data</x:v>
      </x:c>
      <x:c r="F533" s="7" t="n">
        <x:v>46266</x:v>
      </x:c>
    </x:row>
    <x:row r="534" ht="22" customHeight="1">
      <x:c r="A534" s="8" t="n">
        <x:v>45792</x:v>
      </x:c>
      <x:c r="B534" s="7" t="str">
        <x:v>US_EQ</x:v>
      </x:c>
      <x:c r="C534" s="7" t="n">
        <x:v>222.5741206937</x:v>
      </x:c>
      <x:c r="D534" s="7" t="n">
        <x:v>222.5741206937</x:v>
      </x:c>
      <x:c r="E534" s="7" t="str">
        <x:v>SYNTHETIC: seeded teaching dataset; not observed market data</x:v>
      </x:c>
      <x:c r="F534" s="7" t="n">
        <x:v>46266</x:v>
      </x:c>
    </x:row>
    <x:row r="535" ht="22" customHeight="1">
      <x:c r="A535" s="8" t="n">
        <x:v>45793</x:v>
      </x:c>
      <x:c r="B535" s="7" t="str">
        <x:v>US_EQ</x:v>
      </x:c>
      <x:c r="C535" s="7" t="n">
        <x:v>225.9149552101</x:v>
      </x:c>
      <x:c r="D535" s="7" t="n">
        <x:v>225.9149552101</x:v>
      </x:c>
      <x:c r="E535" s="7" t="str">
        <x:v>SYNTHETIC: seeded teaching dataset; not observed market data</x:v>
      </x:c>
      <x:c r="F535" s="7" t="n">
        <x:v>46266</x:v>
      </x:c>
    </x:row>
    <x:row r="536" ht="22" customHeight="1">
      <x:c r="A536" s="8" t="n">
        <x:v>45796</x:v>
      </x:c>
      <x:c r="B536" s="7" t="str">
        <x:v>US_EQ</x:v>
      </x:c>
      <x:c r="C536" s="7" t="n">
        <x:v>225.916485775</x:v>
      </x:c>
      <x:c r="D536" s="7" t="n">
        <x:v>225.916485775</x:v>
      </x:c>
      <x:c r="E536" s="7" t="str">
        <x:v>SYNTHETIC: seeded teaching dataset; not observed market data</x:v>
      </x:c>
      <x:c r="F536" s="7" t="n">
        <x:v>46266</x:v>
      </x:c>
    </x:row>
    <x:row r="537" ht="22" customHeight="1">
      <x:c r="A537" s="8" t="n">
        <x:v>45797</x:v>
      </x:c>
      <x:c r="B537" s="7" t="str">
        <x:v>US_EQ</x:v>
      </x:c>
      <x:c r="C537" s="7" t="n">
        <x:v>223.0599496368</x:v>
      </x:c>
      <x:c r="D537" s="7" t="n">
        <x:v>223.0599496368</x:v>
      </x:c>
      <x:c r="E537" s="7" t="str">
        <x:v>SYNTHETIC: seeded teaching dataset; not observed market data</x:v>
      </x:c>
      <x:c r="F537" s="7" t="n">
        <x:v>46266</x:v>
      </x:c>
    </x:row>
    <x:row r="538" ht="22" customHeight="1">
      <x:c r="A538" s="8" t="n">
        <x:v>45798</x:v>
      </x:c>
      <x:c r="B538" s="7" t="str">
        <x:v>US_EQ</x:v>
      </x:c>
      <x:c r="C538" s="7" t="n">
        <x:v>218.8359858705</x:v>
      </x:c>
      <x:c r="D538" s="7" t="n">
        <x:v>218.8359858705</x:v>
      </x:c>
      <x:c r="E538" s="7" t="str">
        <x:v>SYNTHETIC: seeded teaching dataset; not observed market data</x:v>
      </x:c>
      <x:c r="F538" s="7" t="n">
        <x:v>46266</x:v>
      </x:c>
    </x:row>
    <x:row r="539" ht="22" customHeight="1">
      <x:c r="A539" s="8" t="n">
        <x:v>45799</x:v>
      </x:c>
      <x:c r="B539" s="7" t="str">
        <x:v>US_EQ</x:v>
      </x:c>
      <x:c r="C539" s="7" t="n">
        <x:v>221.915583499</x:v>
      </x:c>
      <x:c r="D539" s="7" t="n">
        <x:v>221.915583499</x:v>
      </x:c>
      <x:c r="E539" s="7" t="str">
        <x:v>SYNTHETIC: seeded teaching dataset; not observed market data</x:v>
      </x:c>
      <x:c r="F539" s="7" t="n">
        <x:v>46266</x:v>
      </x:c>
    </x:row>
    <x:row r="540" ht="22" customHeight="1">
      <x:c r="A540" s="8" t="n">
        <x:v>45800</x:v>
      </x:c>
      <x:c r="B540" s="7" t="str">
        <x:v>US_EQ</x:v>
      </x:c>
      <x:c r="C540" s="7" t="n">
        <x:v>223.9671561236</x:v>
      </x:c>
      <x:c r="D540" s="7" t="n">
        <x:v>223.9671561236</x:v>
      </x:c>
      <x:c r="E540" s="7" t="str">
        <x:v>SYNTHETIC: seeded teaching dataset; not observed market data</x:v>
      </x:c>
      <x:c r="F540" s="7" t="n">
        <x:v>46266</x:v>
      </x:c>
    </x:row>
    <x:row r="541" ht="22" customHeight="1">
      <x:c r="A541" s="8" t="n">
        <x:v>45803</x:v>
      </x:c>
      <x:c r="B541" s="7" t="str">
        <x:v>US_EQ</x:v>
      </x:c>
      <x:c r="C541" s="7" t="n">
        <x:v>221.3788575813</x:v>
      </x:c>
      <x:c r="D541" s="7" t="n">
        <x:v>221.3788575813</x:v>
      </x:c>
      <x:c r="E541" s="7" t="str">
        <x:v>SYNTHETIC: seeded teaching dataset; not observed market data</x:v>
      </x:c>
      <x:c r="F541" s="7" t="n">
        <x:v>46266</x:v>
      </x:c>
    </x:row>
    <x:row r="542" ht="22" customHeight="1">
      <x:c r="A542" s="8" t="n">
        <x:v>45804</x:v>
      </x:c>
      <x:c r="B542" s="7" t="str">
        <x:v>US_EQ</x:v>
      </x:c>
      <x:c r="C542" s="7" t="n">
        <x:v>219.6256054376</x:v>
      </x:c>
      <x:c r="D542" s="7" t="n">
        <x:v>219.6256054376</x:v>
      </x:c>
      <x:c r="E542" s="7" t="str">
        <x:v>SYNTHETIC: seeded teaching dataset; not observed market data</x:v>
      </x:c>
      <x:c r="F542" s="7" t="n">
        <x:v>46266</x:v>
      </x:c>
    </x:row>
    <x:row r="543" ht="22" customHeight="1">
      <x:c r="A543" s="8" t="n">
        <x:v>45805</x:v>
      </x:c>
      <x:c r="B543" s="7" t="str">
        <x:v>US_EQ</x:v>
      </x:c>
      <x:c r="C543" s="7" t="n">
        <x:v>216.1384457212</x:v>
      </x:c>
      <x:c r="D543" s="7" t="n">
        <x:v>216.1384457212</x:v>
      </x:c>
      <x:c r="E543" s="7" t="str">
        <x:v>SYNTHETIC: seeded teaching dataset; not observed market data</x:v>
      </x:c>
      <x:c r="F543" s="7" t="n">
        <x:v>46266</x:v>
      </x:c>
    </x:row>
    <x:row r="544" ht="22" customHeight="1">
      <x:c r="A544" s="8" t="n">
        <x:v>45806</x:v>
      </x:c>
      <x:c r="B544" s="7" t="str">
        <x:v>US_EQ</x:v>
      </x:c>
      <x:c r="C544" s="7" t="n">
        <x:v>215.4858011542</x:v>
      </x:c>
      <x:c r="D544" s="7" t="n">
        <x:v>215.4858011542</x:v>
      </x:c>
      <x:c r="E544" s="7" t="str">
        <x:v>SYNTHETIC: seeded teaching dataset; not observed market data</x:v>
      </x:c>
      <x:c r="F544" s="7" t="n">
        <x:v>46266</x:v>
      </x:c>
    </x:row>
    <x:row r="545" ht="22" customHeight="1">
      <x:c r="A545" s="8" t="n">
        <x:v>45807</x:v>
      </x:c>
      <x:c r="B545" s="7" t="str">
        <x:v>US_EQ</x:v>
      </x:c>
      <x:c r="C545" s="7" t="n">
        <x:v>215.7850261269</x:v>
      </x:c>
      <x:c r="D545" s="7" t="n">
        <x:v>215.7850261269</x:v>
      </x:c>
      <x:c r="E545" s="7" t="str">
        <x:v>SYNTHETIC: seeded teaching dataset; not observed market data</x:v>
      </x:c>
      <x:c r="F545" s="7" t="n">
        <x:v>46266</x:v>
      </x:c>
    </x:row>
    <x:row r="546" ht="22" customHeight="1">
      <x:c r="A546" s="8" t="n">
        <x:v>45810</x:v>
      </x:c>
      <x:c r="B546" s="7" t="str">
        <x:v>US_EQ</x:v>
      </x:c>
      <x:c r="C546" s="7" t="n">
        <x:v>214.8466190349</x:v>
      </x:c>
      <x:c r="D546" s="7" t="n">
        <x:v>214.8466190349</x:v>
      </x:c>
      <x:c r="E546" s="7" t="str">
        <x:v>SYNTHETIC: seeded teaching dataset; not observed market data</x:v>
      </x:c>
      <x:c r="F546" s="7" t="n">
        <x:v>46266</x:v>
      </x:c>
    </x:row>
    <x:row r="547" ht="22" customHeight="1">
      <x:c r="A547" s="8" t="n">
        <x:v>45811</x:v>
      </x:c>
      <x:c r="B547" s="7" t="str">
        <x:v>US_EQ</x:v>
      </x:c>
      <x:c r="C547" s="7" t="n">
        <x:v>215.8396898911</x:v>
      </x:c>
      <x:c r="D547" s="7" t="n">
        <x:v>215.8396898911</x:v>
      </x:c>
      <x:c r="E547" s="7" t="str">
        <x:v>SYNTHETIC: seeded teaching dataset; not observed market data</x:v>
      </x:c>
      <x:c r="F547" s="7" t="n">
        <x:v>46266</x:v>
      </x:c>
    </x:row>
    <x:row r="548" ht="22" customHeight="1">
      <x:c r="A548" s="8" t="n">
        <x:v>45812</x:v>
      </x:c>
      <x:c r="B548" s="7" t="str">
        <x:v>US_EQ</x:v>
      </x:c>
      <x:c r="C548" s="7" t="n">
        <x:v>215.7299185954</x:v>
      </x:c>
      <x:c r="D548" s="7" t="n">
        <x:v>215.7299185954</x:v>
      </x:c>
      <x:c r="E548" s="7" t="str">
        <x:v>SYNTHETIC: seeded teaching dataset; not observed market data</x:v>
      </x:c>
      <x:c r="F548" s="7" t="n">
        <x:v>46266</x:v>
      </x:c>
    </x:row>
    <x:row r="549" ht="22" customHeight="1">
      <x:c r="A549" s="8" t="n">
        <x:v>45813</x:v>
      </x:c>
      <x:c r="B549" s="7" t="str">
        <x:v>US_EQ</x:v>
      </x:c>
      <x:c r="C549" s="7" t="n">
        <x:v>218.7900617696</x:v>
      </x:c>
      <x:c r="D549" s="7" t="n">
        <x:v>218.7900617696</x:v>
      </x:c>
      <x:c r="E549" s="7" t="str">
        <x:v>SYNTHETIC: seeded teaching dataset; not observed market data</x:v>
      </x:c>
      <x:c r="F549" s="7" t="n">
        <x:v>46266</x:v>
      </x:c>
    </x:row>
    <x:row r="550" ht="22" customHeight="1">
      <x:c r="A550" s="8" t="n">
        <x:v>45814</x:v>
      </x:c>
      <x:c r="B550" s="7" t="str">
        <x:v>US_EQ</x:v>
      </x:c>
      <x:c r="C550" s="7" t="n">
        <x:v>223.7312742069</x:v>
      </x:c>
      <x:c r="D550" s="7" t="n">
        <x:v>223.7312742069</x:v>
      </x:c>
      <x:c r="E550" s="7" t="str">
        <x:v>SYNTHETIC: seeded teaching dataset; not observed market data</x:v>
      </x:c>
      <x:c r="F550" s="7" t="n">
        <x:v>46266</x:v>
      </x:c>
    </x:row>
    <x:row r="551" ht="22" customHeight="1">
      <x:c r="A551" s="8" t="n">
        <x:v>45817</x:v>
      </x:c>
      <x:c r="B551" s="7" t="str">
        <x:v>US_EQ</x:v>
      </x:c>
      <x:c r="C551" s="7" t="n">
        <x:v>220.8210493364</x:v>
      </x:c>
      <x:c r="D551" s="7" t="n">
        <x:v>220.8210493364</x:v>
      </x:c>
      <x:c r="E551" s="7" t="str">
        <x:v>SYNTHETIC: seeded teaching dataset; not observed market data</x:v>
      </x:c>
      <x:c r="F551" s="7" t="n">
        <x:v>46266</x:v>
      </x:c>
    </x:row>
    <x:row r="552" ht="22" customHeight="1">
      <x:c r="A552" s="8" t="n">
        <x:v>45818</x:v>
      </x:c>
      <x:c r="B552" s="7" t="str">
        <x:v>US_EQ</x:v>
      </x:c>
      <x:c r="C552" s="7" t="n">
        <x:v>220.2056254415</x:v>
      </x:c>
      <x:c r="D552" s="7" t="n">
        <x:v>220.2056254415</x:v>
      </x:c>
      <x:c r="E552" s="7" t="str">
        <x:v>SYNTHETIC: seeded teaching dataset; not observed market data</x:v>
      </x:c>
      <x:c r="F552" s="7" t="n">
        <x:v>46266</x:v>
      </x:c>
    </x:row>
    <x:row r="553" ht="22" customHeight="1">
      <x:c r="A553" s="8" t="n">
        <x:v>45819</x:v>
      </x:c>
      <x:c r="B553" s="7" t="str">
        <x:v>US_EQ</x:v>
      </x:c>
      <x:c r="C553" s="7" t="n">
        <x:v>217.6025012558</x:v>
      </x:c>
      <x:c r="D553" s="7" t="n">
        <x:v>217.6025012558</x:v>
      </x:c>
      <x:c r="E553" s="7" t="str">
        <x:v>SYNTHETIC: seeded teaching dataset; not observed market data</x:v>
      </x:c>
      <x:c r="F553" s="7" t="n">
        <x:v>46266</x:v>
      </x:c>
    </x:row>
    <x:row r="554" ht="22" customHeight="1">
      <x:c r="A554" s="8" t="n">
        <x:v>45820</x:v>
      </x:c>
      <x:c r="B554" s="7" t="str">
        <x:v>US_EQ</x:v>
      </x:c>
      <x:c r="C554" s="7" t="n">
        <x:v>218.2827256266</x:v>
      </x:c>
      <x:c r="D554" s="7" t="n">
        <x:v>218.2827256266</x:v>
      </x:c>
      <x:c r="E554" s="7" t="str">
        <x:v>SYNTHETIC: seeded teaching dataset; not observed market data</x:v>
      </x:c>
      <x:c r="F554" s="7" t="n">
        <x:v>46266</x:v>
      </x:c>
    </x:row>
    <x:row r="555" ht="22" customHeight="1">
      <x:c r="A555" s="8" t="n">
        <x:v>45821</x:v>
      </x:c>
      <x:c r="B555" s="7" t="str">
        <x:v>US_EQ</x:v>
      </x:c>
      <x:c r="C555" s="7" t="n">
        <x:v>219.0961593014</x:v>
      </x:c>
      <x:c r="D555" s="7" t="n">
        <x:v>219.0961593014</x:v>
      </x:c>
      <x:c r="E555" s="7" t="str">
        <x:v>SYNTHETIC: seeded teaching dataset; not observed market data</x:v>
      </x:c>
      <x:c r="F555" s="7" t="n">
        <x:v>46266</x:v>
      </x:c>
    </x:row>
    <x:row r="556" ht="22" customHeight="1">
      <x:c r="A556" s="8" t="n">
        <x:v>45824</x:v>
      </x:c>
      <x:c r="B556" s="7" t="str">
        <x:v>US_EQ</x:v>
      </x:c>
      <x:c r="C556" s="7" t="n">
        <x:v>218.3903796251</x:v>
      </x:c>
      <x:c r="D556" s="7" t="n">
        <x:v>218.3903796251</x:v>
      </x:c>
      <x:c r="E556" s="7" t="str">
        <x:v>SYNTHETIC: seeded teaching dataset; not observed market data</x:v>
      </x:c>
      <x:c r="F556" s="7" t="n">
        <x:v>46266</x:v>
      </x:c>
    </x:row>
    <x:row r="557" ht="22" customHeight="1">
      <x:c r="A557" s="8" t="n">
        <x:v>45825</x:v>
      </x:c>
      <x:c r="B557" s="7" t="str">
        <x:v>US_EQ</x:v>
      </x:c>
      <x:c r="C557" s="7" t="n">
        <x:v>219.3270591826</x:v>
      </x:c>
      <x:c r="D557" s="7" t="n">
        <x:v>219.3270591826</x:v>
      </x:c>
      <x:c r="E557" s="7" t="str">
        <x:v>SYNTHETIC: seeded teaching dataset; not observed market data</x:v>
      </x:c>
      <x:c r="F557" s="7" t="n">
        <x:v>46266</x:v>
      </x:c>
    </x:row>
    <x:row r="558" ht="22" customHeight="1">
      <x:c r="A558" s="8" t="n">
        <x:v>45826</x:v>
      </x:c>
      <x:c r="B558" s="7" t="str">
        <x:v>US_EQ</x:v>
      </x:c>
      <x:c r="C558" s="7" t="n">
        <x:v>218.7140256517</x:v>
      </x:c>
      <x:c r="D558" s="7" t="n">
        <x:v>218.7140256517</x:v>
      </x:c>
      <x:c r="E558" s="7" t="str">
        <x:v>SYNTHETIC: seeded teaching dataset; not observed market data</x:v>
      </x:c>
      <x:c r="F558" s="7" t="n">
        <x:v>46266</x:v>
      </x:c>
    </x:row>
    <x:row r="559" ht="22" customHeight="1">
      <x:c r="A559" s="8" t="n">
        <x:v>45827</x:v>
      </x:c>
      <x:c r="B559" s="7" t="str">
        <x:v>US_EQ</x:v>
      </x:c>
      <x:c r="C559" s="7" t="n">
        <x:v>222.6724487502</x:v>
      </x:c>
      <x:c r="D559" s="7" t="n">
        <x:v>222.6724487502</x:v>
      </x:c>
      <x:c r="E559" s="7" t="str">
        <x:v>SYNTHETIC: seeded teaching dataset; not observed market data</x:v>
      </x:c>
      <x:c r="F559" s="7" t="n">
        <x:v>46266</x:v>
      </x:c>
    </x:row>
    <x:row r="560" ht="22" customHeight="1">
      <x:c r="A560" s="8" t="n">
        <x:v>45828</x:v>
      </x:c>
      <x:c r="B560" s="7" t="str">
        <x:v>US_EQ</x:v>
      </x:c>
      <x:c r="C560" s="7" t="n">
        <x:v>224.2742735342</x:v>
      </x:c>
      <x:c r="D560" s="7" t="n">
        <x:v>224.2742735342</x:v>
      </x:c>
      <x:c r="E560" s="7" t="str">
        <x:v>SYNTHETIC: seeded teaching dataset; not observed market data</x:v>
      </x:c>
      <x:c r="F560" s="7" t="n">
        <x:v>46266</x:v>
      </x:c>
    </x:row>
    <x:row r="561" ht="22" customHeight="1">
      <x:c r="A561" s="8" t="n">
        <x:v>45831</x:v>
      </x:c>
      <x:c r="B561" s="7" t="str">
        <x:v>US_EQ</x:v>
      </x:c>
      <x:c r="C561" s="7" t="n">
        <x:v>218.6765067232</x:v>
      </x:c>
      <x:c r="D561" s="7" t="n">
        <x:v>218.6765067232</x:v>
      </x:c>
      <x:c r="E561" s="7" t="str">
        <x:v>SYNTHETIC: seeded teaching dataset; not observed market data</x:v>
      </x:c>
      <x:c r="F561" s="7" t="n">
        <x:v>46266</x:v>
      </x:c>
    </x:row>
    <x:row r="562" ht="22" customHeight="1">
      <x:c r="A562" s="8" t="n">
        <x:v>45832</x:v>
      </x:c>
      <x:c r="B562" s="7" t="str">
        <x:v>US_EQ</x:v>
      </x:c>
      <x:c r="C562" s="7" t="n">
        <x:v>216.4733950559</x:v>
      </x:c>
      <x:c r="D562" s="7" t="n">
        <x:v>216.4733950559</x:v>
      </x:c>
      <x:c r="E562" s="7" t="str">
        <x:v>SYNTHETIC: seeded teaching dataset; not observed market data</x:v>
      </x:c>
      <x:c r="F562" s="7" t="n">
        <x:v>46266</x:v>
      </x:c>
    </x:row>
    <x:row r="563" ht="22" customHeight="1">
      <x:c r="A563" s="8" t="n">
        <x:v>45833</x:v>
      </x:c>
      <x:c r="B563" s="7" t="str">
        <x:v>US_EQ</x:v>
      </x:c>
      <x:c r="C563" s="7" t="n">
        <x:v>216.7761731949</x:v>
      </x:c>
      <x:c r="D563" s="7" t="n">
        <x:v>216.7761731949</x:v>
      </x:c>
      <x:c r="E563" s="7" t="str">
        <x:v>SYNTHETIC: seeded teaching dataset; not observed market data</x:v>
      </x:c>
      <x:c r="F563" s="7" t="n">
        <x:v>46266</x:v>
      </x:c>
    </x:row>
    <x:row r="564" ht="22" customHeight="1">
      <x:c r="A564" s="8" t="n">
        <x:v>45834</x:v>
      </x:c>
      <x:c r="B564" s="7" t="str">
        <x:v>US_EQ</x:v>
      </x:c>
      <x:c r="C564" s="7" t="n">
        <x:v>216.4242228247</x:v>
      </x:c>
      <x:c r="D564" s="7" t="n">
        <x:v>216.4242228247</x:v>
      </x:c>
      <x:c r="E564" s="7" t="str">
        <x:v>SYNTHETIC: seeded teaching dataset; not observed market data</x:v>
      </x:c>
      <x:c r="F564" s="7" t="n">
        <x:v>46266</x:v>
      </x:c>
    </x:row>
    <x:row r="565" ht="22" customHeight="1">
      <x:c r="A565" s="8" t="n">
        <x:v>45835</x:v>
      </x:c>
      <x:c r="B565" s="7" t="str">
        <x:v>US_EQ</x:v>
      </x:c>
      <x:c r="C565" s="7" t="n">
        <x:v>215.104373645</x:v>
      </x:c>
      <x:c r="D565" s="7" t="n">
        <x:v>215.104373645</x:v>
      </x:c>
      <x:c r="E565" s="7" t="str">
        <x:v>SYNTHETIC: seeded teaching dataset; not observed market data</x:v>
      </x:c>
      <x:c r="F565" s="7" t="n">
        <x:v>46266</x:v>
      </x:c>
    </x:row>
    <x:row r="566" ht="22" customHeight="1">
      <x:c r="A566" s="8" t="n">
        <x:v>45838</x:v>
      </x:c>
      <x:c r="B566" s="7" t="str">
        <x:v>US_EQ</x:v>
      </x:c>
      <x:c r="C566" s="7" t="n">
        <x:v>211.4110813857</x:v>
      </x:c>
      <x:c r="D566" s="7" t="n">
        <x:v>211.4110813857</x:v>
      </x:c>
      <x:c r="E566" s="7" t="str">
        <x:v>SYNTHETIC: seeded teaching dataset; not observed market data</x:v>
      </x:c>
      <x:c r="F566" s="7" t="n">
        <x:v>46266</x:v>
      </x:c>
    </x:row>
    <x:row r="567" ht="22" customHeight="1">
      <x:c r="A567" s="8" t="n">
        <x:v>45839</x:v>
      </x:c>
      <x:c r="B567" s="7" t="str">
        <x:v>US_EQ</x:v>
      </x:c>
      <x:c r="C567" s="7" t="n">
        <x:v>212.0950217822</x:v>
      </x:c>
      <x:c r="D567" s="7" t="n">
        <x:v>212.0950217822</x:v>
      </x:c>
      <x:c r="E567" s="7" t="str">
        <x:v>SYNTHETIC: seeded teaching dataset; not observed market data</x:v>
      </x:c>
      <x:c r="F567" s="7" t="n">
        <x:v>46266</x:v>
      </x:c>
    </x:row>
    <x:row r="568" ht="22" customHeight="1">
      <x:c r="A568" s="8" t="n">
        <x:v>45840</x:v>
      </x:c>
      <x:c r="B568" s="7" t="str">
        <x:v>US_EQ</x:v>
      </x:c>
      <x:c r="C568" s="7" t="n">
        <x:v>212.172029047</x:v>
      </x:c>
      <x:c r="D568" s="7" t="n">
        <x:v>212.172029047</x:v>
      </x:c>
      <x:c r="E568" s="7" t="str">
        <x:v>SYNTHETIC: seeded teaching dataset; not observed market data</x:v>
      </x:c>
      <x:c r="F568" s="7" t="n">
        <x:v>46266</x:v>
      </x:c>
    </x:row>
    <x:row r="569" ht="22" customHeight="1">
      <x:c r="A569" s="8" t="n">
        <x:v>45841</x:v>
      </x:c>
      <x:c r="B569" s="7" t="str">
        <x:v>US_EQ</x:v>
      </x:c>
      <x:c r="C569" s="7" t="n">
        <x:v>209.2426651725</x:v>
      </x:c>
      <x:c r="D569" s="7" t="n">
        <x:v>209.2426651725</x:v>
      </x:c>
      <x:c r="E569" s="7" t="str">
        <x:v>SYNTHETIC: seeded teaching dataset; not observed market data</x:v>
      </x:c>
      <x:c r="F569" s="7" t="n">
        <x:v>46266</x:v>
      </x:c>
    </x:row>
    <x:row r="570" ht="22" customHeight="1">
      <x:c r="A570" s="8" t="n">
        <x:v>45842</x:v>
      </x:c>
      <x:c r="B570" s="7" t="str">
        <x:v>US_EQ</x:v>
      </x:c>
      <x:c r="C570" s="7" t="n">
        <x:v>209.2155423944</x:v>
      </x:c>
      <x:c r="D570" s="7" t="n">
        <x:v>209.2155423944</x:v>
      </x:c>
      <x:c r="E570" s="7" t="str">
        <x:v>SYNTHETIC: seeded teaching dataset; not observed market data</x:v>
      </x:c>
      <x:c r="F570" s="7" t="n">
        <x:v>46266</x:v>
      </x:c>
    </x:row>
    <x:row r="571" ht="22" customHeight="1">
      <x:c r="A571" s="8" t="n">
        <x:v>45845</x:v>
      </x:c>
      <x:c r="B571" s="7" t="str">
        <x:v>US_EQ</x:v>
      </x:c>
      <x:c r="C571" s="7" t="n">
        <x:v>204.235527464</x:v>
      </x:c>
      <x:c r="D571" s="7" t="n">
        <x:v>204.235527464</x:v>
      </x:c>
      <x:c r="E571" s="7" t="str">
        <x:v>SYNTHETIC: seeded teaching dataset; not observed market data</x:v>
      </x:c>
      <x:c r="F571" s="7" t="n">
        <x:v>46266</x:v>
      </x:c>
    </x:row>
    <x:row r="572" ht="22" customHeight="1">
      <x:c r="A572" s="8" t="n">
        <x:v>45846</x:v>
      </x:c>
      <x:c r="B572" s="7" t="str">
        <x:v>US_EQ</x:v>
      </x:c>
      <x:c r="C572" s="7" t="n">
        <x:v>204.507661453</x:v>
      </x:c>
      <x:c r="D572" s="7" t="n">
        <x:v>204.507661453</x:v>
      </x:c>
      <x:c r="E572" s="7" t="str">
        <x:v>SYNTHETIC: seeded teaching dataset; not observed market data</x:v>
      </x:c>
      <x:c r="F572" s="7" t="n">
        <x:v>46266</x:v>
      </x:c>
    </x:row>
    <x:row r="573" ht="22" customHeight="1">
      <x:c r="A573" s="8" t="n">
        <x:v>45847</x:v>
      </x:c>
      <x:c r="B573" s="7" t="str">
        <x:v>US_EQ</x:v>
      </x:c>
      <x:c r="C573" s="7" t="n">
        <x:v>202.4537594075</x:v>
      </x:c>
      <x:c r="D573" s="7" t="n">
        <x:v>202.4537594075</x:v>
      </x:c>
      <x:c r="E573" s="7" t="str">
        <x:v>SYNTHETIC: seeded teaching dataset; not observed market data</x:v>
      </x:c>
      <x:c r="F573" s="7" t="n">
        <x:v>46266</x:v>
      </x:c>
    </x:row>
    <x:row r="574" ht="22" customHeight="1">
      <x:c r="A574" s="8" t="n">
        <x:v>45848</x:v>
      </x:c>
      <x:c r="B574" s="7" t="str">
        <x:v>US_EQ</x:v>
      </x:c>
      <x:c r="C574" s="7" t="n">
        <x:v>203.8291852395</x:v>
      </x:c>
      <x:c r="D574" s="7" t="n">
        <x:v>203.8291852395</x:v>
      </x:c>
      <x:c r="E574" s="7" t="str">
        <x:v>SYNTHETIC: seeded teaching dataset; not observed market data</x:v>
      </x:c>
      <x:c r="F574" s="7" t="n">
        <x:v>46266</x:v>
      </x:c>
    </x:row>
    <x:row r="575" ht="22" customHeight="1">
      <x:c r="A575" s="8" t="n">
        <x:v>45849</x:v>
      </x:c>
      <x:c r="B575" s="7" t="str">
        <x:v>US_EQ</x:v>
      </x:c>
      <x:c r="C575" s="7" t="n">
        <x:v>196.638560924</x:v>
      </x:c>
      <x:c r="D575" s="7" t="n">
        <x:v>196.638560924</x:v>
      </x:c>
      <x:c r="E575" s="7" t="str">
        <x:v>SYNTHETIC: seeded teaching dataset; not observed market data</x:v>
      </x:c>
      <x:c r="F575" s="7" t="n">
        <x:v>46266</x:v>
      </x:c>
    </x:row>
    <x:row r="576" ht="22" customHeight="1">
      <x:c r="A576" s="8" t="n">
        <x:v>45852</x:v>
      </x:c>
      <x:c r="B576" s="7" t="str">
        <x:v>US_EQ</x:v>
      </x:c>
      <x:c r="C576" s="7" t="n">
        <x:v>193.7616854946</x:v>
      </x:c>
      <x:c r="D576" s="7" t="n">
        <x:v>193.7616854946</x:v>
      </x:c>
      <x:c r="E576" s="7" t="str">
        <x:v>SYNTHETIC: seeded teaching dataset; not observed market data</x:v>
      </x:c>
      <x:c r="F576" s="7" t="n">
        <x:v>46266</x:v>
      </x:c>
    </x:row>
    <x:row r="577" ht="22" customHeight="1">
      <x:c r="A577" s="8" t="n">
        <x:v>45853</x:v>
      </x:c>
      <x:c r="B577" s="7" t="str">
        <x:v>US_EQ</x:v>
      </x:c>
      <x:c r="C577" s="7" t="n">
        <x:v>190.471431951</x:v>
      </x:c>
      <x:c r="D577" s="7" t="n">
        <x:v>190.471431951</x:v>
      </x:c>
      <x:c r="E577" s="7" t="str">
        <x:v>SYNTHETIC: seeded teaching dataset; not observed market data</x:v>
      </x:c>
      <x:c r="F577" s="7" t="n">
        <x:v>46266</x:v>
      </x:c>
    </x:row>
    <x:row r="578" ht="22" customHeight="1">
      <x:c r="A578" s="8" t="n">
        <x:v>45854</x:v>
      </x:c>
      <x:c r="B578" s="7" t="str">
        <x:v>US_EQ</x:v>
      </x:c>
      <x:c r="C578" s="7" t="n">
        <x:v>190.9067687227</x:v>
      </x:c>
      <x:c r="D578" s="7" t="n">
        <x:v>190.9067687227</x:v>
      </x:c>
      <x:c r="E578" s="7" t="str">
        <x:v>SYNTHETIC: seeded teaching dataset; not observed market data</x:v>
      </x:c>
      <x:c r="F578" s="7" t="n">
        <x:v>46266</x:v>
      </x:c>
    </x:row>
    <x:row r="579" ht="22" customHeight="1">
      <x:c r="A579" s="8" t="n">
        <x:v>45855</x:v>
      </x:c>
      <x:c r="B579" s="7" t="str">
        <x:v>US_EQ</x:v>
      </x:c>
      <x:c r="C579" s="7" t="n">
        <x:v>189.6030948787</x:v>
      </x:c>
      <x:c r="D579" s="7" t="n">
        <x:v>189.6030948787</x:v>
      </x:c>
      <x:c r="E579" s="7" t="str">
        <x:v>SYNTHETIC: seeded teaching dataset; not observed market data</x:v>
      </x:c>
      <x:c r="F579" s="7" t="n">
        <x:v>46266</x:v>
      </x:c>
    </x:row>
    <x:row r="580" ht="22" customHeight="1">
      <x:c r="A580" s="8" t="n">
        <x:v>45856</x:v>
      </x:c>
      <x:c r="B580" s="7" t="str">
        <x:v>US_EQ</x:v>
      </x:c>
      <x:c r="C580" s="7" t="n">
        <x:v>190.5628027503</x:v>
      </x:c>
      <x:c r="D580" s="7" t="n">
        <x:v>190.5628027503</x:v>
      </x:c>
      <x:c r="E580" s="7" t="str">
        <x:v>SYNTHETIC: seeded teaching dataset; not observed market data</x:v>
      </x:c>
      <x:c r="F580" s="7" t="n">
        <x:v>46266</x:v>
      </x:c>
    </x:row>
    <x:row r="581" ht="22" customHeight="1">
      <x:c r="A581" s="8" t="n">
        <x:v>45859</x:v>
      </x:c>
      <x:c r="B581" s="7" t="str">
        <x:v>US_EQ</x:v>
      </x:c>
      <x:c r="C581" s="7" t="n">
        <x:v>191.4114423961</x:v>
      </x:c>
      <x:c r="D581" s="7" t="n">
        <x:v>191.4114423961</x:v>
      </x:c>
      <x:c r="E581" s="7" t="str">
        <x:v>SYNTHETIC: seeded teaching dataset; not observed market data</x:v>
      </x:c>
      <x:c r="F581" s="7" t="n">
        <x:v>46266</x:v>
      </x:c>
    </x:row>
    <x:row r="582" ht="22" customHeight="1">
      <x:c r="A582" s="8" t="n">
        <x:v>45860</x:v>
      </x:c>
      <x:c r="B582" s="7" t="str">
        <x:v>US_EQ</x:v>
      </x:c>
      <x:c r="C582" s="7" t="n">
        <x:v>193.6363287012</x:v>
      </x:c>
      <x:c r="D582" s="7" t="n">
        <x:v>193.6363287012</x:v>
      </x:c>
      <x:c r="E582" s="7" t="str">
        <x:v>SYNTHETIC: seeded teaching dataset; not observed market data</x:v>
      </x:c>
      <x:c r="F582" s="7" t="n">
        <x:v>46266</x:v>
      </x:c>
    </x:row>
    <x:row r="583" ht="22" customHeight="1">
      <x:c r="A583" s="8" t="n">
        <x:v>45861</x:v>
      </x:c>
      <x:c r="B583" s="7" t="str">
        <x:v>US_EQ</x:v>
      </x:c>
      <x:c r="C583" s="7" t="n">
        <x:v>196.3839508888</x:v>
      </x:c>
      <x:c r="D583" s="7" t="n">
        <x:v>196.3839508888</x:v>
      </x:c>
      <x:c r="E583" s="7" t="str">
        <x:v>SYNTHETIC: seeded teaching dataset; not observed market data</x:v>
      </x:c>
      <x:c r="F583" s="7" t="n">
        <x:v>46266</x:v>
      </x:c>
    </x:row>
    <x:row r="584" ht="22" customHeight="1">
      <x:c r="A584" s="8" t="n">
        <x:v>45862</x:v>
      </x:c>
      <x:c r="B584" s="7" t="str">
        <x:v>US_EQ</x:v>
      </x:c>
      <x:c r="C584" s="7" t="n">
        <x:v>196.8488086116</x:v>
      </x:c>
      <x:c r="D584" s="7" t="n">
        <x:v>196.8488086116</x:v>
      </x:c>
      <x:c r="E584" s="7" t="str">
        <x:v>SYNTHETIC: seeded teaching dataset; not observed market data</x:v>
      </x:c>
      <x:c r="F584" s="7" t="n">
        <x:v>46266</x:v>
      </x:c>
    </x:row>
    <x:row r="585" ht="22" customHeight="1">
      <x:c r="A585" s="8" t="n">
        <x:v>45863</x:v>
      </x:c>
      <x:c r="B585" s="7" t="str">
        <x:v>US_EQ</x:v>
      </x:c>
      <x:c r="C585" s="7" t="n">
        <x:v>200.4830710262</x:v>
      </x:c>
      <x:c r="D585" s="7" t="n">
        <x:v>200.4830710262</x:v>
      </x:c>
      <x:c r="E585" s="7" t="str">
        <x:v>SYNTHETIC: seeded teaching dataset; not observed market data</x:v>
      </x:c>
      <x:c r="F585" s="7" t="n">
        <x:v>46266</x:v>
      </x:c>
    </x:row>
    <x:row r="586" ht="22" customHeight="1">
      <x:c r="A586" s="8" t="n">
        <x:v>45866</x:v>
      </x:c>
      <x:c r="B586" s="7" t="str">
        <x:v>US_EQ</x:v>
      </x:c>
      <x:c r="C586" s="7" t="n">
        <x:v>197.9128869273</x:v>
      </x:c>
      <x:c r="D586" s="7" t="n">
        <x:v>197.9128869273</x:v>
      </x:c>
      <x:c r="E586" s="7" t="str">
        <x:v>SYNTHETIC: seeded teaching dataset; not observed market data</x:v>
      </x:c>
      <x:c r="F586" s="7" t="n">
        <x:v>46266</x:v>
      </x:c>
    </x:row>
    <x:row r="587" ht="22" customHeight="1">
      <x:c r="A587" s="8" t="n">
        <x:v>45867</x:v>
      </x:c>
      <x:c r="B587" s="7" t="str">
        <x:v>US_EQ</x:v>
      </x:c>
      <x:c r="C587" s="7" t="n">
        <x:v>198.1738528603</x:v>
      </x:c>
      <x:c r="D587" s="7" t="n">
        <x:v>198.1738528603</x:v>
      </x:c>
      <x:c r="E587" s="7" t="str">
        <x:v>SYNTHETIC: seeded teaching dataset; not observed market data</x:v>
      </x:c>
      <x:c r="F587" s="7" t="n">
        <x:v>46266</x:v>
      </x:c>
    </x:row>
    <x:row r="588" ht="22" customHeight="1">
      <x:c r="A588" s="8" t="n">
        <x:v>45868</x:v>
      </x:c>
      <x:c r="B588" s="7" t="str">
        <x:v>US_EQ</x:v>
      </x:c>
      <x:c r="C588" s="7" t="n">
        <x:v>199.0698359763</x:v>
      </x:c>
      <x:c r="D588" s="7" t="n">
        <x:v>199.0698359763</x:v>
      </x:c>
      <x:c r="E588" s="7" t="str">
        <x:v>SYNTHETIC: seeded teaching dataset; not observed market data</x:v>
      </x:c>
      <x:c r="F588" s="7" t="n">
        <x:v>46266</x:v>
      </x:c>
    </x:row>
    <x:row r="589" ht="22" customHeight="1">
      <x:c r="A589" s="8" t="n">
        <x:v>45869</x:v>
      </x:c>
      <x:c r="B589" s="7" t="str">
        <x:v>US_EQ</x:v>
      </x:c>
      <x:c r="C589" s="7" t="n">
        <x:v>198.8553101153</x:v>
      </x:c>
      <x:c r="D589" s="7" t="n">
        <x:v>198.8553101153</x:v>
      </x:c>
      <x:c r="E589" s="7" t="str">
        <x:v>SYNTHETIC: seeded teaching dataset; not observed market data</x:v>
      </x:c>
      <x:c r="F589" s="7" t="n">
        <x:v>46266</x:v>
      </x:c>
    </x:row>
    <x:row r="590" ht="22" customHeight="1">
      <x:c r="A590" s="8" t="n">
        <x:v>45870</x:v>
      </x:c>
      <x:c r="B590" s="7" t="str">
        <x:v>US_EQ</x:v>
      </x:c>
      <x:c r="C590" s="7" t="n">
        <x:v>200.0944133026</x:v>
      </x:c>
      <x:c r="D590" s="7" t="n">
        <x:v>200.0944133026</x:v>
      </x:c>
      <x:c r="E590" s="7" t="str">
        <x:v>SYNTHETIC: seeded teaching dataset; not observed market data</x:v>
      </x:c>
      <x:c r="F590" s="7" t="n">
        <x:v>46266</x:v>
      </x:c>
    </x:row>
    <x:row r="591" ht="22" customHeight="1">
      <x:c r="A591" s="8" t="n">
        <x:v>45873</x:v>
      </x:c>
      <x:c r="B591" s="7" t="str">
        <x:v>US_EQ</x:v>
      </x:c>
      <x:c r="C591" s="7" t="n">
        <x:v>198.9555877385</x:v>
      </x:c>
      <x:c r="D591" s="7" t="n">
        <x:v>198.9555877385</x:v>
      </x:c>
      <x:c r="E591" s="7" t="str">
        <x:v>SYNTHETIC: seeded teaching dataset; not observed market data</x:v>
      </x:c>
      <x:c r="F591" s="7" t="n">
        <x:v>46266</x:v>
      </x:c>
    </x:row>
    <x:row r="592" ht="22" customHeight="1">
      <x:c r="A592" s="8" t="n">
        <x:v>45874</x:v>
      </x:c>
      <x:c r="B592" s="7" t="str">
        <x:v>US_EQ</x:v>
      </x:c>
      <x:c r="C592" s="7" t="n">
        <x:v>200.427098955</x:v>
      </x:c>
      <x:c r="D592" s="7" t="n">
        <x:v>200.427098955</x:v>
      </x:c>
      <x:c r="E592" s="7" t="str">
        <x:v>SYNTHETIC: seeded teaching dataset; not observed market data</x:v>
      </x:c>
      <x:c r="F592" s="7" t="n">
        <x:v>46266</x:v>
      </x:c>
    </x:row>
    <x:row r="593" ht="22" customHeight="1">
      <x:c r="A593" s="8" t="n">
        <x:v>45875</x:v>
      </x:c>
      <x:c r="B593" s="7" t="str">
        <x:v>US_EQ</x:v>
      </x:c>
      <x:c r="C593" s="7" t="n">
        <x:v>202.8095998809</x:v>
      </x:c>
      <x:c r="D593" s="7" t="n">
        <x:v>202.8095998809</x:v>
      </x:c>
      <x:c r="E593" s="7" t="str">
        <x:v>SYNTHETIC: seeded teaching dataset; not observed market data</x:v>
      </x:c>
      <x:c r="F593" s="7" t="n">
        <x:v>46266</x:v>
      </x:c>
    </x:row>
    <x:row r="594" ht="22" customHeight="1">
      <x:c r="A594" s="8" t="n">
        <x:v>45876</x:v>
      </x:c>
      <x:c r="B594" s="7" t="str">
        <x:v>US_EQ</x:v>
      </x:c>
      <x:c r="C594" s="7" t="n">
        <x:v>205.8381547186</x:v>
      </x:c>
      <x:c r="D594" s="7" t="n">
        <x:v>205.8381547186</x:v>
      </x:c>
      <x:c r="E594" s="7" t="str">
        <x:v>SYNTHETIC: seeded teaching dataset; not observed market data</x:v>
      </x:c>
      <x:c r="F594" s="7" t="n">
        <x:v>46266</x:v>
      </x:c>
    </x:row>
    <x:row r="595" ht="22" customHeight="1">
      <x:c r="A595" s="8" t="n">
        <x:v>45877</x:v>
      </x:c>
      <x:c r="B595" s="7" t="str">
        <x:v>US_EQ</x:v>
      </x:c>
      <x:c r="C595" s="7" t="n">
        <x:v>206.7017296265</x:v>
      </x:c>
      <x:c r="D595" s="7" t="n">
        <x:v>206.7017296265</x:v>
      </x:c>
      <x:c r="E595" s="7" t="str">
        <x:v>SYNTHETIC: seeded teaching dataset; not observed market data</x:v>
      </x:c>
      <x:c r="F595" s="7" t="n">
        <x:v>46266</x:v>
      </x:c>
    </x:row>
    <x:row r="596" ht="22" customHeight="1">
      <x:c r="A596" s="8" t="n">
        <x:v>45880</x:v>
      </x:c>
      <x:c r="B596" s="7" t="str">
        <x:v>US_EQ</x:v>
      </x:c>
      <x:c r="C596" s="7" t="n">
        <x:v>205.3588834641</x:v>
      </x:c>
      <x:c r="D596" s="7" t="n">
        <x:v>205.3588834641</x:v>
      </x:c>
      <x:c r="E596" s="7" t="str">
        <x:v>SYNTHETIC: seeded teaching dataset; not observed market data</x:v>
      </x:c>
      <x:c r="F596" s="7" t="n">
        <x:v>46266</x:v>
      </x:c>
    </x:row>
    <x:row r="597" ht="22" customHeight="1">
      <x:c r="A597" s="8" t="n">
        <x:v>45881</x:v>
      </x:c>
      <x:c r="B597" s="7" t="str">
        <x:v>US_EQ</x:v>
      </x:c>
      <x:c r="C597" s="7" t="n">
        <x:v>207.1405951733</x:v>
      </x:c>
      <x:c r="D597" s="7" t="n">
        <x:v>207.1405951733</x:v>
      </x:c>
      <x:c r="E597" s="7" t="str">
        <x:v>SYNTHETIC: seeded teaching dataset; not observed market data</x:v>
      </x:c>
      <x:c r="F597" s="7" t="n">
        <x:v>46266</x:v>
      </x:c>
    </x:row>
    <x:row r="598" ht="22" customHeight="1">
      <x:c r="A598" s="8" t="n">
        <x:v>45882</x:v>
      </x:c>
      <x:c r="B598" s="7" t="str">
        <x:v>US_EQ</x:v>
      </x:c>
      <x:c r="C598" s="7" t="n">
        <x:v>206.8945443136</x:v>
      </x:c>
      <x:c r="D598" s="7" t="n">
        <x:v>206.8945443136</x:v>
      </x:c>
      <x:c r="E598" s="7" t="str">
        <x:v>SYNTHETIC: seeded teaching dataset; not observed market data</x:v>
      </x:c>
      <x:c r="F598" s="7" t="n">
        <x:v>46266</x:v>
      </x:c>
    </x:row>
    <x:row r="599" ht="22" customHeight="1">
      <x:c r="A599" s="8" t="n">
        <x:v>45883</x:v>
      </x:c>
      <x:c r="B599" s="7" t="str">
        <x:v>US_EQ</x:v>
      </x:c>
      <x:c r="C599" s="7" t="n">
        <x:v>209.10692069</x:v>
      </x:c>
      <x:c r="D599" s="7" t="n">
        <x:v>209.10692069</x:v>
      </x:c>
      <x:c r="E599" s="7" t="str">
        <x:v>SYNTHETIC: seeded teaching dataset; not observed market data</x:v>
      </x:c>
      <x:c r="F599" s="7" t="n">
        <x:v>46266</x:v>
      </x:c>
    </x:row>
    <x:row r="600" ht="22" customHeight="1">
      <x:c r="A600" s="8" t="n">
        <x:v>45884</x:v>
      </x:c>
      <x:c r="B600" s="7" t="str">
        <x:v>US_EQ</x:v>
      </x:c>
      <x:c r="C600" s="7" t="n">
        <x:v>209.6116431066</x:v>
      </x:c>
      <x:c r="D600" s="7" t="n">
        <x:v>209.6116431066</x:v>
      </x:c>
      <x:c r="E600" s="7" t="str">
        <x:v>SYNTHETIC: seeded teaching dataset; not observed market data</x:v>
      </x:c>
      <x:c r="F600" s="7" t="n">
        <x:v>46266</x:v>
      </x:c>
    </x:row>
    <x:row r="601" ht="22" customHeight="1">
      <x:c r="A601" s="8" t="n">
        <x:v>45887</x:v>
      </x:c>
      <x:c r="B601" s="7" t="str">
        <x:v>US_EQ</x:v>
      </x:c>
      <x:c r="C601" s="7" t="n">
        <x:v>210.5852186235</x:v>
      </x:c>
      <x:c r="D601" s="7" t="n">
        <x:v>210.5852186235</x:v>
      </x:c>
      <x:c r="E601" s="7" t="str">
        <x:v>SYNTHETIC: seeded teaching dataset; not observed market data</x:v>
      </x:c>
      <x:c r="F601" s="7" t="n">
        <x:v>46266</x:v>
      </x:c>
    </x:row>
    <x:row r="602" ht="22" customHeight="1">
      <x:c r="A602" s="8" t="n">
        <x:v>45888</x:v>
      </x:c>
      <x:c r="B602" s="7" t="str">
        <x:v>US_EQ</x:v>
      </x:c>
      <x:c r="C602" s="7" t="n">
        <x:v>209.7859086385</x:v>
      </x:c>
      <x:c r="D602" s="7" t="n">
        <x:v>209.7859086385</x:v>
      </x:c>
      <x:c r="E602" s="7" t="str">
        <x:v>SYNTHETIC: seeded teaching dataset; not observed market data</x:v>
      </x:c>
      <x:c r="F602" s="7" t="n">
        <x:v>46266</x:v>
      </x:c>
    </x:row>
    <x:row r="603" ht="22" customHeight="1">
      <x:c r="A603" s="8" t="n">
        <x:v>45889</x:v>
      </x:c>
      <x:c r="B603" s="7" t="str">
        <x:v>US_EQ</x:v>
      </x:c>
      <x:c r="C603" s="7" t="n">
        <x:v>211.6787615374</x:v>
      </x:c>
      <x:c r="D603" s="7" t="n">
        <x:v>211.6787615374</x:v>
      </x:c>
      <x:c r="E603" s="7" t="str">
        <x:v>SYNTHETIC: seeded teaching dataset; not observed market data</x:v>
      </x:c>
      <x:c r="F603" s="7" t="n">
        <x:v>46266</x:v>
      </x:c>
    </x:row>
    <x:row r="604" ht="22" customHeight="1">
      <x:c r="A604" s="8" t="n">
        <x:v>45890</x:v>
      </x:c>
      <x:c r="B604" s="7" t="str">
        <x:v>US_EQ</x:v>
      </x:c>
      <x:c r="C604" s="7" t="n">
        <x:v>210.5309769418</x:v>
      </x:c>
      <x:c r="D604" s="7" t="n">
        <x:v>210.5309769418</x:v>
      </x:c>
      <x:c r="E604" s="7" t="str">
        <x:v>SYNTHETIC: seeded teaching dataset; not observed market data</x:v>
      </x:c>
      <x:c r="F604" s="7" t="n">
        <x:v>46266</x:v>
      </x:c>
    </x:row>
    <x:row r="605" ht="22" customHeight="1">
      <x:c r="A605" s="8" t="n">
        <x:v>45891</x:v>
      </x:c>
      <x:c r="B605" s="7" t="str">
        <x:v>US_EQ</x:v>
      </x:c>
      <x:c r="C605" s="7" t="n">
        <x:v>212.5943338778</x:v>
      </x:c>
      <x:c r="D605" s="7" t="n">
        <x:v>212.5943338778</x:v>
      </x:c>
      <x:c r="E605" s="7" t="str">
        <x:v>SYNTHETIC: seeded teaching dataset; not observed market data</x:v>
      </x:c>
      <x:c r="F605" s="7" t="n">
        <x:v>46266</x:v>
      </x:c>
    </x:row>
    <x:row r="606" ht="22" customHeight="1">
      <x:c r="A606" s="8" t="n">
        <x:v>45894</x:v>
      </x:c>
      <x:c r="B606" s="7" t="str">
        <x:v>US_EQ</x:v>
      </x:c>
      <x:c r="C606" s="7" t="n">
        <x:v>212.6615430354</x:v>
      </x:c>
      <x:c r="D606" s="7" t="n">
        <x:v>212.6615430354</x:v>
      </x:c>
      <x:c r="E606" s="7" t="str">
        <x:v>SYNTHETIC: seeded teaching dataset; not observed market data</x:v>
      </x:c>
      <x:c r="F606" s="7" t="n">
        <x:v>46266</x:v>
      </x:c>
    </x:row>
    <x:row r="607" ht="22" customHeight="1">
      <x:c r="A607" s="8" t="n">
        <x:v>45895</x:v>
      </x:c>
      <x:c r="B607" s="7" t="str">
        <x:v>US_EQ</x:v>
      </x:c>
      <x:c r="C607" s="7" t="n">
        <x:v>211.7961338028</x:v>
      </x:c>
      <x:c r="D607" s="7" t="n">
        <x:v>211.7961338028</x:v>
      </x:c>
      <x:c r="E607" s="7" t="str">
        <x:v>SYNTHETIC: seeded teaching dataset; not observed market data</x:v>
      </x:c>
      <x:c r="F607" s="7" t="n">
        <x:v>46266</x:v>
      </x:c>
    </x:row>
    <x:row r="608" ht="22" customHeight="1">
      <x:c r="A608" s="8" t="n">
        <x:v>45896</x:v>
      </x:c>
      <x:c r="B608" s="7" t="str">
        <x:v>US_EQ</x:v>
      </x:c>
      <x:c r="C608" s="7" t="n">
        <x:v>208.7121056241</x:v>
      </x:c>
      <x:c r="D608" s="7" t="n">
        <x:v>208.7121056241</x:v>
      </x:c>
      <x:c r="E608" s="7" t="str">
        <x:v>SYNTHETIC: seeded teaching dataset; not observed market data</x:v>
      </x:c>
      <x:c r="F608" s="7" t="n">
        <x:v>46266</x:v>
      </x:c>
    </x:row>
    <x:row r="609" ht="22" customHeight="1">
      <x:c r="A609" s="8" t="n">
        <x:v>45897</x:v>
      </x:c>
      <x:c r="B609" s="7" t="str">
        <x:v>US_EQ</x:v>
      </x:c>
      <x:c r="C609" s="7" t="n">
        <x:v>207.1647315035</x:v>
      </x:c>
      <x:c r="D609" s="7" t="n">
        <x:v>207.1647315035</x:v>
      </x:c>
      <x:c r="E609" s="7" t="str">
        <x:v>SYNTHETIC: seeded teaching dataset; not observed market data</x:v>
      </x:c>
      <x:c r="F609" s="7" t="n">
        <x:v>46266</x:v>
      </x:c>
    </x:row>
    <x:row r="610" ht="22" customHeight="1">
      <x:c r="A610" s="8" t="n">
        <x:v>45898</x:v>
      </x:c>
      <x:c r="B610" s="7" t="str">
        <x:v>US_EQ</x:v>
      </x:c>
      <x:c r="C610" s="7" t="n">
        <x:v>208.8235474703</x:v>
      </x:c>
      <x:c r="D610" s="7" t="n">
        <x:v>208.8235474703</x:v>
      </x:c>
      <x:c r="E610" s="7" t="str">
        <x:v>SYNTHETIC: seeded teaching dataset; not observed market data</x:v>
      </x:c>
      <x:c r="F610" s="7" t="n">
        <x:v>46266</x:v>
      </x:c>
    </x:row>
    <x:row r="611" ht="22" customHeight="1">
      <x:c r="A611" s="8" t="n">
        <x:v>45901</x:v>
      </x:c>
      <x:c r="B611" s="7" t="str">
        <x:v>US_EQ</x:v>
      </x:c>
      <x:c r="C611" s="7" t="n">
        <x:v>211.9012846906</x:v>
      </x:c>
      <x:c r="D611" s="7" t="n">
        <x:v>211.9012846906</x:v>
      </x:c>
      <x:c r="E611" s="7" t="str">
        <x:v>SYNTHETIC: seeded teaching dataset; not observed market data</x:v>
      </x:c>
      <x:c r="F611" s="7" t="n">
        <x:v>46266</x:v>
      </x:c>
    </x:row>
    <x:row r="612" ht="22" customHeight="1">
      <x:c r="A612" s="8" t="n">
        <x:v>45902</x:v>
      </x:c>
      <x:c r="B612" s="7" t="str">
        <x:v>US_EQ</x:v>
      </x:c>
      <x:c r="C612" s="7" t="n">
        <x:v>214.597475496</x:v>
      </x:c>
      <x:c r="D612" s="7" t="n">
        <x:v>214.597475496</x:v>
      </x:c>
      <x:c r="E612" s="7" t="str">
        <x:v>SYNTHETIC: seeded teaching dataset; not observed market data</x:v>
      </x:c>
      <x:c r="F612" s="7" t="n">
        <x:v>46266</x:v>
      </x:c>
    </x:row>
    <x:row r="613" ht="22" customHeight="1">
      <x:c r="A613" s="8" t="n">
        <x:v>45903</x:v>
      </x:c>
      <x:c r="B613" s="7" t="str">
        <x:v>US_EQ</x:v>
      </x:c>
      <x:c r="C613" s="7" t="n">
        <x:v>213.1381663068</x:v>
      </x:c>
      <x:c r="D613" s="7" t="n">
        <x:v>213.1381663068</x:v>
      </x:c>
      <x:c r="E613" s="7" t="str">
        <x:v>SYNTHETIC: seeded teaching dataset; not observed market data</x:v>
      </x:c>
      <x:c r="F613" s="7" t="n">
        <x:v>46266</x:v>
      </x:c>
    </x:row>
    <x:row r="614" ht="22" customHeight="1">
      <x:c r="A614" s="8" t="n">
        <x:v>45904</x:v>
      </x:c>
      <x:c r="B614" s="7" t="str">
        <x:v>US_EQ</x:v>
      </x:c>
      <x:c r="C614" s="7" t="n">
        <x:v>210.640873042</x:v>
      </x:c>
      <x:c r="D614" s="7" t="n">
        <x:v>210.640873042</x:v>
      </x:c>
      <x:c r="E614" s="7" t="str">
        <x:v>SYNTHETIC: seeded teaching dataset; not observed market data</x:v>
      </x:c>
      <x:c r="F614" s="7" t="n">
        <x:v>46266</x:v>
      </x:c>
    </x:row>
    <x:row r="615" ht="22" customHeight="1">
      <x:c r="A615" s="8" t="n">
        <x:v>45905</x:v>
      </x:c>
      <x:c r="B615" s="7" t="str">
        <x:v>US_EQ</x:v>
      </x:c>
      <x:c r="C615" s="7" t="n">
        <x:v>205.4774583196</x:v>
      </x:c>
      <x:c r="D615" s="7" t="n">
        <x:v>205.4774583196</x:v>
      </x:c>
      <x:c r="E615" s="7" t="str">
        <x:v>SYNTHETIC: seeded teaching dataset; not observed market data</x:v>
      </x:c>
      <x:c r="F615" s="7" t="n">
        <x:v>46266</x:v>
      </x:c>
    </x:row>
    <x:row r="616" ht="22" customHeight="1">
      <x:c r="A616" s="8" t="n">
        <x:v>45908</x:v>
      </x:c>
      <x:c r="B616" s="7" t="str">
        <x:v>US_EQ</x:v>
      </x:c>
      <x:c r="C616" s="7" t="n">
        <x:v>204.3958273072</x:v>
      </x:c>
      <x:c r="D616" s="7" t="n">
        <x:v>204.3958273072</x:v>
      </x:c>
      <x:c r="E616" s="7" t="str">
        <x:v>SYNTHETIC: seeded teaching dataset; not observed market data</x:v>
      </x:c>
      <x:c r="F616" s="7" t="n">
        <x:v>46266</x:v>
      </x:c>
    </x:row>
    <x:row r="617" ht="22" customHeight="1">
      <x:c r="A617" s="8" t="n">
        <x:v>45909</x:v>
      </x:c>
      <x:c r="B617" s="7" t="str">
        <x:v>US_EQ</x:v>
      </x:c>
      <x:c r="C617" s="7" t="n">
        <x:v>205.8202634935</x:v>
      </x:c>
      <x:c r="D617" s="7" t="n">
        <x:v>205.8202634935</x:v>
      </x:c>
      <x:c r="E617" s="7" t="str">
        <x:v>SYNTHETIC: seeded teaching dataset; not observed market data</x:v>
      </x:c>
      <x:c r="F617" s="7" t="n">
        <x:v>46266</x:v>
      </x:c>
    </x:row>
    <x:row r="618" ht="22" customHeight="1">
      <x:c r="A618" s="8" t="n">
        <x:v>45910</x:v>
      </x:c>
      <x:c r="B618" s="7" t="str">
        <x:v>US_EQ</x:v>
      </x:c>
      <x:c r="C618" s="7" t="n">
        <x:v>203.877825036</x:v>
      </x:c>
      <x:c r="D618" s="7" t="n">
        <x:v>203.877825036</x:v>
      </x:c>
      <x:c r="E618" s="7" t="str">
        <x:v>SYNTHETIC: seeded teaching dataset; not observed market data</x:v>
      </x:c>
      <x:c r="F618" s="7" t="n">
        <x:v>46266</x:v>
      </x:c>
    </x:row>
    <x:row r="619" ht="22" customHeight="1">
      <x:c r="A619" s="8" t="n">
        <x:v>45911</x:v>
      </x:c>
      <x:c r="B619" s="7" t="str">
        <x:v>US_EQ</x:v>
      </x:c>
      <x:c r="C619" s="7" t="n">
        <x:v>207.3333264782</x:v>
      </x:c>
      <x:c r="D619" s="7" t="n">
        <x:v>207.3333264782</x:v>
      </x:c>
      <x:c r="E619" s="7" t="str">
        <x:v>SYNTHETIC: seeded teaching dataset; not observed market data</x:v>
      </x:c>
      <x:c r="F619" s="7" t="n">
        <x:v>46266</x:v>
      </x:c>
    </x:row>
    <x:row r="620" ht="22" customHeight="1">
      <x:c r="A620" s="8" t="n">
        <x:v>45912</x:v>
      </x:c>
      <x:c r="B620" s="7" t="str">
        <x:v>US_EQ</x:v>
      </x:c>
      <x:c r="C620" s="7" t="n">
        <x:v>201.4829144415</x:v>
      </x:c>
      <x:c r="D620" s="7" t="n">
        <x:v>201.4829144415</x:v>
      </x:c>
      <x:c r="E620" s="7" t="str">
        <x:v>SYNTHETIC: seeded teaching dataset; not observed market data</x:v>
      </x:c>
      <x:c r="F620" s="7" t="n">
        <x:v>46266</x:v>
      </x:c>
    </x:row>
    <x:row r="621" ht="22" customHeight="1">
      <x:c r="A621" s="8" t="n">
        <x:v>45915</x:v>
      </x:c>
      <x:c r="B621" s="7" t="str">
        <x:v>US_EQ</x:v>
      </x:c>
      <x:c r="C621" s="7" t="n">
        <x:v>202.8617119504</x:v>
      </x:c>
      <x:c r="D621" s="7" t="n">
        <x:v>202.8617119504</x:v>
      </x:c>
      <x:c r="E621" s="7" t="str">
        <x:v>SYNTHETIC: seeded teaching dataset; not observed market data</x:v>
      </x:c>
      <x:c r="F621" s="7" t="n">
        <x:v>46266</x:v>
      </x:c>
    </x:row>
    <x:row r="622" ht="22" customHeight="1">
      <x:c r="A622" s="8" t="n">
        <x:v>45916</x:v>
      </x:c>
      <x:c r="B622" s="7" t="str">
        <x:v>US_EQ</x:v>
      </x:c>
      <x:c r="C622" s="7" t="n">
        <x:v>199.2446086486</x:v>
      </x:c>
      <x:c r="D622" s="7" t="n">
        <x:v>199.2446086486</x:v>
      </x:c>
      <x:c r="E622" s="7" t="str">
        <x:v>SYNTHETIC: seeded teaching dataset; not observed market data</x:v>
      </x:c>
      <x:c r="F622" s="7" t="n">
        <x:v>46266</x:v>
      </x:c>
    </x:row>
    <x:row r="623" ht="22" customHeight="1">
      <x:c r="A623" s="8" t="n">
        <x:v>45917</x:v>
      </x:c>
      <x:c r="B623" s="7" t="str">
        <x:v>US_EQ</x:v>
      </x:c>
      <x:c r="C623" s="7" t="n">
        <x:v>199.6152243564</x:v>
      </x:c>
      <x:c r="D623" s="7" t="n">
        <x:v>199.6152243564</x:v>
      </x:c>
      <x:c r="E623" s="7" t="str">
        <x:v>SYNTHETIC: seeded teaching dataset; not observed market data</x:v>
      </x:c>
      <x:c r="F623" s="7" t="n">
        <x:v>46266</x:v>
      </x:c>
    </x:row>
    <x:row r="624" ht="22" customHeight="1">
      <x:c r="A624" s="8" t="n">
        <x:v>45918</x:v>
      </x:c>
      <x:c r="B624" s="7" t="str">
        <x:v>US_EQ</x:v>
      </x:c>
      <x:c r="C624" s="7" t="n">
        <x:v>203.0500815103</x:v>
      </x:c>
      <x:c r="D624" s="7" t="n">
        <x:v>203.0500815103</x:v>
      </x:c>
      <x:c r="E624" s="7" t="str">
        <x:v>SYNTHETIC: seeded teaching dataset; not observed market data</x:v>
      </x:c>
      <x:c r="F624" s="7" t="n">
        <x:v>46266</x:v>
      </x:c>
    </x:row>
    <x:row r="625" ht="22" customHeight="1">
      <x:c r="A625" s="8" t="n">
        <x:v>45919</x:v>
      </x:c>
      <x:c r="B625" s="7" t="str">
        <x:v>US_EQ</x:v>
      </x:c>
      <x:c r="C625" s="7" t="n">
        <x:v>201.807658033</x:v>
      </x:c>
      <x:c r="D625" s="7" t="n">
        <x:v>201.807658033</x:v>
      </x:c>
      <x:c r="E625" s="7" t="str">
        <x:v>SYNTHETIC: seeded teaching dataset; not observed market data</x:v>
      </x:c>
      <x:c r="F625" s="7" t="n">
        <x:v>46266</x:v>
      </x:c>
    </x:row>
    <x:row r="626" ht="22" customHeight="1">
      <x:c r="A626" s="8" t="n">
        <x:v>45922</x:v>
      </x:c>
      <x:c r="B626" s="7" t="str">
        <x:v>US_EQ</x:v>
      </x:c>
      <x:c r="C626" s="7" t="n">
        <x:v>199.3124498395</x:v>
      </x:c>
      <x:c r="D626" s="7" t="n">
        <x:v>199.3124498395</x:v>
      </x:c>
      <x:c r="E626" s="7" t="str">
        <x:v>SYNTHETIC: seeded teaching dataset; not observed market data</x:v>
      </x:c>
      <x:c r="F626" s="7" t="n">
        <x:v>46266</x:v>
      </x:c>
    </x:row>
    <x:row r="627" ht="22" customHeight="1">
      <x:c r="A627" s="8" t="n">
        <x:v>45923</x:v>
      </x:c>
      <x:c r="B627" s="7" t="str">
        <x:v>US_EQ</x:v>
      </x:c>
      <x:c r="C627" s="7" t="n">
        <x:v>198.5945392054</x:v>
      </x:c>
      <x:c r="D627" s="7" t="n">
        <x:v>198.5945392054</x:v>
      </x:c>
      <x:c r="E627" s="7" t="str">
        <x:v>SYNTHETIC: seeded teaching dataset; not observed market data</x:v>
      </x:c>
      <x:c r="F627" s="7" t="n">
        <x:v>46266</x:v>
      </x:c>
    </x:row>
    <x:row r="628" ht="22" customHeight="1">
      <x:c r="A628" s="8" t="n">
        <x:v>45924</x:v>
      </x:c>
      <x:c r="B628" s="7" t="str">
        <x:v>US_EQ</x:v>
      </x:c>
      <x:c r="C628" s="7" t="n">
        <x:v>200.6892568519</x:v>
      </x:c>
      <x:c r="D628" s="7" t="n">
        <x:v>200.6892568519</x:v>
      </x:c>
      <x:c r="E628" s="7" t="str">
        <x:v>SYNTHETIC: seeded teaching dataset; not observed market data</x:v>
      </x:c>
      <x:c r="F628" s="7" t="n">
        <x:v>46266</x:v>
      </x:c>
    </x:row>
    <x:row r="629" ht="22" customHeight="1">
      <x:c r="A629" s="8" t="n">
        <x:v>45925</x:v>
      </x:c>
      <x:c r="B629" s="7" t="str">
        <x:v>US_EQ</x:v>
      </x:c>
      <x:c r="C629" s="7" t="n">
        <x:v>199.9559535017</x:v>
      </x:c>
      <x:c r="D629" s="7" t="n">
        <x:v>199.9559535017</x:v>
      </x:c>
      <x:c r="E629" s="7" t="str">
        <x:v>SYNTHETIC: seeded teaching dataset; not observed market data</x:v>
      </x:c>
      <x:c r="F629" s="7" t="n">
        <x:v>46266</x:v>
      </x:c>
    </x:row>
    <x:row r="630" ht="22" customHeight="1">
      <x:c r="A630" s="8" t="n">
        <x:v>45926</x:v>
      </x:c>
      <x:c r="B630" s="7" t="str">
        <x:v>US_EQ</x:v>
      </x:c>
      <x:c r="C630" s="7" t="n">
        <x:v>202.5907243633</x:v>
      </x:c>
      <x:c r="D630" s="7" t="n">
        <x:v>202.5907243633</x:v>
      </x:c>
      <x:c r="E630" s="7" t="str">
        <x:v>SYNTHETIC: seeded teaching dataset; not observed market data</x:v>
      </x:c>
      <x:c r="F630" s="7" t="n">
        <x:v>46266</x:v>
      </x:c>
    </x:row>
    <x:row r="631" ht="22" customHeight="1">
      <x:c r="A631" s="8" t="n">
        <x:v>45929</x:v>
      </x:c>
      <x:c r="B631" s="7" t="str">
        <x:v>US_EQ</x:v>
      </x:c>
      <x:c r="C631" s="7" t="n">
        <x:v>199.7581171701</x:v>
      </x:c>
      <x:c r="D631" s="7" t="n">
        <x:v>199.7581171701</x:v>
      </x:c>
      <x:c r="E631" s="7" t="str">
        <x:v>SYNTHETIC: seeded teaching dataset; not observed market data</x:v>
      </x:c>
      <x:c r="F631" s="7" t="n">
        <x:v>46266</x:v>
      </x:c>
    </x:row>
    <x:row r="632" ht="22" customHeight="1">
      <x:c r="A632" s="8" t="n">
        <x:v>45930</x:v>
      </x:c>
      <x:c r="B632" s="7" t="str">
        <x:v>US_EQ</x:v>
      </x:c>
      <x:c r="C632" s="7" t="n">
        <x:v>198.7424246075</x:v>
      </x:c>
      <x:c r="D632" s="7" t="n">
        <x:v>198.7424246075</x:v>
      </x:c>
      <x:c r="E632" s="7" t="str">
        <x:v>SYNTHETIC: seeded teaching dataset; not observed market data</x:v>
      </x:c>
      <x:c r="F632" s="7" t="n">
        <x:v>46266</x:v>
      </x:c>
    </x:row>
    <x:row r="633" ht="22" customHeight="1">
      <x:c r="A633" s="8" t="n">
        <x:v>45931</x:v>
      </x:c>
      <x:c r="B633" s="7" t="str">
        <x:v>US_EQ</x:v>
      </x:c>
      <x:c r="C633" s="7" t="n">
        <x:v>198.4939053677</x:v>
      </x:c>
      <x:c r="D633" s="7" t="n">
        <x:v>198.4939053677</x:v>
      </x:c>
      <x:c r="E633" s="7" t="str">
        <x:v>SYNTHETIC: seeded teaching dataset; not observed market data</x:v>
      </x:c>
      <x:c r="F633" s="7" t="n">
        <x:v>46266</x:v>
      </x:c>
    </x:row>
    <x:row r="634" ht="22" customHeight="1">
      <x:c r="A634" s="8" t="n">
        <x:v>45932</x:v>
      </x:c>
      <x:c r="B634" s="7" t="str">
        <x:v>US_EQ</x:v>
      </x:c>
      <x:c r="C634" s="7" t="n">
        <x:v>202.9826958264</x:v>
      </x:c>
      <x:c r="D634" s="7" t="n">
        <x:v>202.9826958264</x:v>
      </x:c>
      <x:c r="E634" s="7" t="str">
        <x:v>SYNTHETIC: seeded teaching dataset; not observed market data</x:v>
      </x:c>
      <x:c r="F634" s="7" t="n">
        <x:v>46266</x:v>
      </x:c>
    </x:row>
    <x:row r="635" ht="22" customHeight="1">
      <x:c r="A635" s="8" t="n">
        <x:v>45933</x:v>
      </x:c>
      <x:c r="B635" s="7" t="str">
        <x:v>US_EQ</x:v>
      </x:c>
      <x:c r="C635" s="7" t="n">
        <x:v>202.1068571637</x:v>
      </x:c>
      <x:c r="D635" s="7" t="n">
        <x:v>202.1068571637</x:v>
      </x:c>
      <x:c r="E635" s="7" t="str">
        <x:v>SYNTHETIC: seeded teaching dataset; not observed market data</x:v>
      </x:c>
      <x:c r="F635" s="7" t="n">
        <x:v>46266</x:v>
      </x:c>
    </x:row>
    <x:row r="636" ht="22" customHeight="1">
      <x:c r="A636" s="8" t="n">
        <x:v>45936</x:v>
      </x:c>
      <x:c r="B636" s="7" t="str">
        <x:v>US_EQ</x:v>
      </x:c>
      <x:c r="C636" s="7" t="n">
        <x:v>199.8331376469</x:v>
      </x:c>
      <x:c r="D636" s="7" t="n">
        <x:v>199.8331376469</x:v>
      </x:c>
      <x:c r="E636" s="7" t="str">
        <x:v>SYNTHETIC: seeded teaching dataset; not observed market data</x:v>
      </x:c>
      <x:c r="F636" s="7" t="n">
        <x:v>46266</x:v>
      </x:c>
    </x:row>
    <x:row r="637" ht="22" customHeight="1">
      <x:c r="A637" s="8" t="n">
        <x:v>45937</x:v>
      </x:c>
      <x:c r="B637" s="7" t="str">
        <x:v>US_EQ</x:v>
      </x:c>
      <x:c r="C637" s="7" t="n">
        <x:v>198.3119897243</x:v>
      </x:c>
      <x:c r="D637" s="7" t="n">
        <x:v>198.3119897243</x:v>
      </x:c>
      <x:c r="E637" s="7" t="str">
        <x:v>SYNTHETIC: seeded teaching dataset; not observed market data</x:v>
      </x:c>
      <x:c r="F637" s="7" t="n">
        <x:v>46266</x:v>
      </x:c>
    </x:row>
    <x:row r="638" ht="22" customHeight="1">
      <x:c r="A638" s="8" t="n">
        <x:v>45938</x:v>
      </x:c>
      <x:c r="B638" s="7" t="str">
        <x:v>US_EQ</x:v>
      </x:c>
      <x:c r="C638" s="7" t="n">
        <x:v>196.1206151157</x:v>
      </x:c>
      <x:c r="D638" s="7" t="n">
        <x:v>196.1206151157</x:v>
      </x:c>
      <x:c r="E638" s="7" t="str">
        <x:v>SYNTHETIC: seeded teaching dataset; not observed market data</x:v>
      </x:c>
      <x:c r="F638" s="7" t="n">
        <x:v>46266</x:v>
      </x:c>
    </x:row>
    <x:row r="639" ht="22" customHeight="1">
      <x:c r="A639" s="8" t="n">
        <x:v>45939</x:v>
      </x:c>
      <x:c r="B639" s="7" t="str">
        <x:v>US_EQ</x:v>
      </x:c>
      <x:c r="C639" s="7" t="n">
        <x:v>193.6248187475</x:v>
      </x:c>
      <x:c r="D639" s="7" t="n">
        <x:v>193.6248187475</x:v>
      </x:c>
      <x:c r="E639" s="7" t="str">
        <x:v>SYNTHETIC: seeded teaching dataset; not observed market data</x:v>
      </x:c>
      <x:c r="F639" s="7" t="n">
        <x:v>46266</x:v>
      </x:c>
    </x:row>
    <x:row r="640" ht="22" customHeight="1">
      <x:c r="A640" s="8" t="n">
        <x:v>45940</x:v>
      </x:c>
      <x:c r="B640" s="7" t="str">
        <x:v>US_EQ</x:v>
      </x:c>
      <x:c r="C640" s="7" t="n">
        <x:v>190.6983119672</x:v>
      </x:c>
      <x:c r="D640" s="7" t="n">
        <x:v>190.6983119672</x:v>
      </x:c>
      <x:c r="E640" s="7" t="str">
        <x:v>SYNTHETIC: seeded teaching dataset; not observed market data</x:v>
      </x:c>
      <x:c r="F640" s="7" t="n">
        <x:v>46266</x:v>
      </x:c>
    </x:row>
    <x:row r="641" ht="22" customHeight="1">
      <x:c r="A641" s="8" t="n">
        <x:v>45943</x:v>
      </x:c>
      <x:c r="B641" s="7" t="str">
        <x:v>US_EQ</x:v>
      </x:c>
      <x:c r="C641" s="7" t="n">
        <x:v>190.7244604248</x:v>
      </x:c>
      <x:c r="D641" s="7" t="n">
        <x:v>190.7244604248</x:v>
      </x:c>
      <x:c r="E641" s="7" t="str">
        <x:v>SYNTHETIC: seeded teaching dataset; not observed market data</x:v>
      </x:c>
      <x:c r="F641" s="7" t="n">
        <x:v>46266</x:v>
      </x:c>
    </x:row>
    <x:row r="642" ht="22" customHeight="1">
      <x:c r="A642" s="8" t="n">
        <x:v>45944</x:v>
      </x:c>
      <x:c r="B642" s="7" t="str">
        <x:v>US_EQ</x:v>
      </x:c>
      <x:c r="C642" s="7" t="n">
        <x:v>189.6158061419</x:v>
      </x:c>
      <x:c r="D642" s="7" t="n">
        <x:v>189.6158061419</x:v>
      </x:c>
      <x:c r="E642" s="7" t="str">
        <x:v>SYNTHETIC: seeded teaching dataset; not observed market data</x:v>
      </x:c>
      <x:c r="F642" s="7" t="n">
        <x:v>46266</x:v>
      </x:c>
    </x:row>
    <x:row r="643" ht="22" customHeight="1">
      <x:c r="A643" s="8" t="n">
        <x:v>45945</x:v>
      </x:c>
      <x:c r="B643" s="7" t="str">
        <x:v>US_EQ</x:v>
      </x:c>
      <x:c r="C643" s="7" t="n">
        <x:v>193.8474945172</x:v>
      </x:c>
      <x:c r="D643" s="7" t="n">
        <x:v>193.8474945172</x:v>
      </x:c>
      <x:c r="E643" s="7" t="str">
        <x:v>SYNTHETIC: seeded teaching dataset; not observed market data</x:v>
      </x:c>
      <x:c r="F643" s="7" t="n">
        <x:v>46266</x:v>
      </x:c>
    </x:row>
    <x:row r="644" ht="22" customHeight="1">
      <x:c r="A644" s="8" t="n">
        <x:v>45946</x:v>
      </x:c>
      <x:c r="B644" s="7" t="str">
        <x:v>US_EQ</x:v>
      </x:c>
      <x:c r="C644" s="7" t="n">
        <x:v>194.2490994278</x:v>
      </x:c>
      <x:c r="D644" s="7" t="n">
        <x:v>194.2490994278</x:v>
      </x:c>
      <x:c r="E644" s="7" t="str">
        <x:v>SYNTHETIC: seeded teaching dataset; not observed market data</x:v>
      </x:c>
      <x:c r="F644" s="7" t="n">
        <x:v>46266</x:v>
      </x:c>
    </x:row>
    <x:row r="645" ht="22" customHeight="1">
      <x:c r="A645" s="8" t="n">
        <x:v>45947</x:v>
      </x:c>
      <x:c r="B645" s="7" t="str">
        <x:v>US_EQ</x:v>
      </x:c>
      <x:c r="C645" s="7" t="n">
        <x:v>194.5101811269</x:v>
      </x:c>
      <x:c r="D645" s="7" t="n">
        <x:v>194.5101811269</x:v>
      </x:c>
      <x:c r="E645" s="7" t="str">
        <x:v>SYNTHETIC: seeded teaching dataset; not observed market data</x:v>
      </x:c>
      <x:c r="F645" s="7" t="n">
        <x:v>46266</x:v>
      </x:c>
    </x:row>
    <x:row r="646" ht="22" customHeight="1">
      <x:c r="A646" s="8" t="n">
        <x:v>45950</x:v>
      </x:c>
      <x:c r="B646" s="7" t="str">
        <x:v>US_EQ</x:v>
      </x:c>
      <x:c r="C646" s="7" t="n">
        <x:v>195.1211520939</x:v>
      </x:c>
      <x:c r="D646" s="7" t="n">
        <x:v>195.1211520939</x:v>
      </x:c>
      <x:c r="E646" s="7" t="str">
        <x:v>SYNTHETIC: seeded teaching dataset; not observed market data</x:v>
      </x:c>
      <x:c r="F646" s="7" t="n">
        <x:v>46266</x:v>
      </x:c>
    </x:row>
    <x:row r="647" ht="22" customHeight="1">
      <x:c r="A647" s="8" t="n">
        <x:v>45951</x:v>
      </x:c>
      <x:c r="B647" s="7" t="str">
        <x:v>US_EQ</x:v>
      </x:c>
      <x:c r="C647" s="7" t="n">
        <x:v>193.9239835063</x:v>
      </x:c>
      <x:c r="D647" s="7" t="n">
        <x:v>193.9239835063</x:v>
      </x:c>
      <x:c r="E647" s="7" t="str">
        <x:v>SYNTHETIC: seeded teaching dataset; not observed market data</x:v>
      </x:c>
      <x:c r="F647" s="7" t="n">
        <x:v>46266</x:v>
      </x:c>
    </x:row>
    <x:row r="648" ht="22" customHeight="1">
      <x:c r="A648" s="8" t="n">
        <x:v>45952</x:v>
      </x:c>
      <x:c r="B648" s="7" t="str">
        <x:v>US_EQ</x:v>
      </x:c>
      <x:c r="C648" s="7" t="n">
        <x:v>193.8171115735</x:v>
      </x:c>
      <x:c r="D648" s="7" t="n">
        <x:v>193.8171115735</x:v>
      </x:c>
      <x:c r="E648" s="7" t="str">
        <x:v>SYNTHETIC: seeded teaching dataset; not observed market data</x:v>
      </x:c>
      <x:c r="F648" s="7" t="n">
        <x:v>46266</x:v>
      </x:c>
    </x:row>
    <x:row r="649" ht="22" customHeight="1">
      <x:c r="A649" s="8" t="n">
        <x:v>45953</x:v>
      </x:c>
      <x:c r="B649" s="7" t="str">
        <x:v>US_EQ</x:v>
      </x:c>
      <x:c r="C649" s="7" t="n">
        <x:v>195.4429944203</x:v>
      </x:c>
      <x:c r="D649" s="7" t="n">
        <x:v>195.4429944203</x:v>
      </x:c>
      <x:c r="E649" s="7" t="str">
        <x:v>SYNTHETIC: seeded teaching dataset; not observed market data</x:v>
      </x:c>
      <x:c r="F649" s="7" t="n">
        <x:v>46266</x:v>
      </x:c>
    </x:row>
    <x:row r="650" ht="22" customHeight="1">
      <x:c r="A650" s="8" t="n">
        <x:v>45954</x:v>
      </x:c>
      <x:c r="B650" s="7" t="str">
        <x:v>US_EQ</x:v>
      </x:c>
      <x:c r="C650" s="7" t="n">
        <x:v>196.3083930205</x:v>
      </x:c>
      <x:c r="D650" s="7" t="n">
        <x:v>196.3083930205</x:v>
      </x:c>
      <x:c r="E650" s="7" t="str">
        <x:v>SYNTHETIC: seeded teaching dataset; not observed market data</x:v>
      </x:c>
      <x:c r="F650" s="7" t="n">
        <x:v>46266</x:v>
      </x:c>
    </x:row>
    <x:row r="651" ht="22" customHeight="1">
      <x:c r="A651" s="8" t="n">
        <x:v>45957</x:v>
      </x:c>
      <x:c r="B651" s="7" t="str">
        <x:v>US_EQ</x:v>
      </x:c>
      <x:c r="C651" s="7" t="n">
        <x:v>198.7001047571</x:v>
      </x:c>
      <x:c r="D651" s="7" t="n">
        <x:v>198.7001047571</x:v>
      </x:c>
      <x:c r="E651" s="7" t="str">
        <x:v>SYNTHETIC: seeded teaching dataset; not observed market data</x:v>
      </x:c>
      <x:c r="F651" s="7" t="n">
        <x:v>46266</x:v>
      </x:c>
    </x:row>
    <x:row r="652" ht="22" customHeight="1">
      <x:c r="A652" s="8" t="n">
        <x:v>45958</x:v>
      </x:c>
      <x:c r="B652" s="7" t="str">
        <x:v>US_EQ</x:v>
      </x:c>
      <x:c r="C652" s="7" t="n">
        <x:v>197.0684858171</x:v>
      </x:c>
      <x:c r="D652" s="7" t="n">
        <x:v>197.0684858171</x:v>
      </x:c>
      <x:c r="E652" s="7" t="str">
        <x:v>SYNTHETIC: seeded teaching dataset; not observed market data</x:v>
      </x:c>
      <x:c r="F652" s="7" t="n">
        <x:v>46266</x:v>
      </x:c>
    </x:row>
    <x:row r="653" ht="22" customHeight="1">
      <x:c r="A653" s="8" t="n">
        <x:v>45959</x:v>
      </x:c>
      <x:c r="B653" s="7" t="str">
        <x:v>US_EQ</x:v>
      </x:c>
      <x:c r="C653" s="7" t="n">
        <x:v>198.1682095629</x:v>
      </x:c>
      <x:c r="D653" s="7" t="n">
        <x:v>198.1682095629</x:v>
      </x:c>
      <x:c r="E653" s="7" t="str">
        <x:v>SYNTHETIC: seeded teaching dataset; not observed market data</x:v>
      </x:c>
      <x:c r="F653" s="7" t="n">
        <x:v>46266</x:v>
      </x:c>
    </x:row>
    <x:row r="654" ht="22" customHeight="1">
      <x:c r="A654" s="8" t="n">
        <x:v>45960</x:v>
      </x:c>
      <x:c r="B654" s="7" t="str">
        <x:v>US_EQ</x:v>
      </x:c>
      <x:c r="C654" s="7" t="n">
        <x:v>196.6584106597</x:v>
      </x:c>
      <x:c r="D654" s="7" t="n">
        <x:v>196.6584106597</x:v>
      </x:c>
      <x:c r="E654" s="7" t="str">
        <x:v>SYNTHETIC: seeded teaching dataset; not observed market data</x:v>
      </x:c>
      <x:c r="F654" s="7" t="n">
        <x:v>46266</x:v>
      </x:c>
    </x:row>
    <x:row r="655" ht="22" customHeight="1">
      <x:c r="A655" s="8" t="n">
        <x:v>45961</x:v>
      </x:c>
      <x:c r="B655" s="7" t="str">
        <x:v>US_EQ</x:v>
      </x:c>
      <x:c r="C655" s="7" t="n">
        <x:v>196.0041297504</x:v>
      </x:c>
      <x:c r="D655" s="7" t="n">
        <x:v>196.0041297504</x:v>
      </x:c>
      <x:c r="E655" s="7" t="str">
        <x:v>SYNTHETIC: seeded teaching dataset; not observed market data</x:v>
      </x:c>
      <x:c r="F655" s="7" t="n">
        <x:v>46266</x:v>
      </x:c>
    </x:row>
    <x:row r="656" ht="22" customHeight="1">
      <x:c r="A656" s="8" t="n">
        <x:v>45964</x:v>
      </x:c>
      <x:c r="B656" s="7" t="str">
        <x:v>US_EQ</x:v>
      </x:c>
      <x:c r="C656" s="7" t="n">
        <x:v>197.8261768369</x:v>
      </x:c>
      <x:c r="D656" s="7" t="n">
        <x:v>197.8261768369</x:v>
      </x:c>
      <x:c r="E656" s="7" t="str">
        <x:v>SYNTHETIC: seeded teaching dataset; not observed market data</x:v>
      </x:c>
      <x:c r="F656" s="7" t="n">
        <x:v>46266</x:v>
      </x:c>
    </x:row>
    <x:row r="657" ht="22" customHeight="1">
      <x:c r="A657" s="8" t="n">
        <x:v>45965</x:v>
      </x:c>
      <x:c r="B657" s="7" t="str">
        <x:v>US_EQ</x:v>
      </x:c>
      <x:c r="C657" s="7" t="n">
        <x:v>201.0074356943</x:v>
      </x:c>
      <x:c r="D657" s="7" t="n">
        <x:v>201.0074356943</x:v>
      </x:c>
      <x:c r="E657" s="7" t="str">
        <x:v>SYNTHETIC: seeded teaching dataset; not observed market data</x:v>
      </x:c>
      <x:c r="F657" s="7" t="n">
        <x:v>46266</x:v>
      </x:c>
    </x:row>
    <x:row r="658" ht="22" customHeight="1">
      <x:c r="A658" s="8" t="n">
        <x:v>45966</x:v>
      </x:c>
      <x:c r="B658" s="7" t="str">
        <x:v>US_EQ</x:v>
      </x:c>
      <x:c r="C658" s="7" t="n">
        <x:v>201.4275376593</x:v>
      </x:c>
      <x:c r="D658" s="7" t="n">
        <x:v>201.4275376593</x:v>
      </x:c>
      <x:c r="E658" s="7" t="str">
        <x:v>SYNTHETIC: seeded teaching dataset; not observed market data</x:v>
      </x:c>
      <x:c r="F658" s="7" t="n">
        <x:v>46266</x:v>
      </x:c>
    </x:row>
    <x:row r="659" ht="22" customHeight="1">
      <x:c r="A659" s="8" t="n">
        <x:v>45967</x:v>
      </x:c>
      <x:c r="B659" s="7" t="str">
        <x:v>US_EQ</x:v>
      </x:c>
      <x:c r="C659" s="7" t="n">
        <x:v>200.0584649224</x:v>
      </x:c>
      <x:c r="D659" s="7" t="n">
        <x:v>200.0584649224</x:v>
      </x:c>
      <x:c r="E659" s="7" t="str">
        <x:v>SYNTHETIC: seeded teaching dataset; not observed market data</x:v>
      </x:c>
      <x:c r="F659" s="7" t="n">
        <x:v>46266</x:v>
      </x:c>
    </x:row>
    <x:row r="660" ht="22" customHeight="1">
      <x:c r="A660" s="8" t="n">
        <x:v>45968</x:v>
      </x:c>
      <x:c r="B660" s="7" t="str">
        <x:v>US_EQ</x:v>
      </x:c>
      <x:c r="C660" s="7" t="n">
        <x:v>201.3701712381</x:v>
      </x:c>
      <x:c r="D660" s="7" t="n">
        <x:v>201.3701712381</x:v>
      </x:c>
      <x:c r="E660" s="7" t="str">
        <x:v>SYNTHETIC: seeded teaching dataset; not observed market data</x:v>
      </x:c>
      <x:c r="F660" s="7" t="n">
        <x:v>46266</x:v>
      </x:c>
    </x:row>
    <x:row r="661" ht="22" customHeight="1">
      <x:c r="A661" s="8" t="n">
        <x:v>45971</x:v>
      </x:c>
      <x:c r="B661" s="7" t="str">
        <x:v>US_EQ</x:v>
      </x:c>
      <x:c r="C661" s="7" t="n">
        <x:v>206.6218764781</x:v>
      </x:c>
      <x:c r="D661" s="7" t="n">
        <x:v>206.6218764781</x:v>
      </x:c>
      <x:c r="E661" s="7" t="str">
        <x:v>SYNTHETIC: seeded teaching dataset; not observed market data</x:v>
      </x:c>
      <x:c r="F661" s="7" t="n">
        <x:v>46266</x:v>
      </x:c>
    </x:row>
    <x:row r="662" ht="22" customHeight="1">
      <x:c r="A662" s="8" t="n">
        <x:v>45972</x:v>
      </x:c>
      <x:c r="B662" s="7" t="str">
        <x:v>US_EQ</x:v>
      </x:c>
      <x:c r="C662" s="7" t="n">
        <x:v>203.9019291541</x:v>
      </x:c>
      <x:c r="D662" s="7" t="n">
        <x:v>203.9019291541</x:v>
      </x:c>
      <x:c r="E662" s="7" t="str">
        <x:v>SYNTHETIC: seeded teaching dataset; not observed market data</x:v>
      </x:c>
      <x:c r="F662" s="7" t="n">
        <x:v>46266</x:v>
      </x:c>
    </x:row>
    <x:row r="663" ht="22" customHeight="1">
      <x:c r="A663" s="8" t="n">
        <x:v>45973</x:v>
      </x:c>
      <x:c r="B663" s="7" t="str">
        <x:v>US_EQ</x:v>
      </x:c>
      <x:c r="C663" s="7" t="n">
        <x:v>201.3543429405</x:v>
      </x:c>
      <x:c r="D663" s="7" t="n">
        <x:v>201.3543429405</x:v>
      </x:c>
      <x:c r="E663" s="7" t="str">
        <x:v>SYNTHETIC: seeded teaching dataset; not observed market data</x:v>
      </x:c>
      <x:c r="F663" s="7" t="n">
        <x:v>46266</x:v>
      </x:c>
    </x:row>
    <x:row r="664" ht="22" customHeight="1">
      <x:c r="A664" s="8" t="n">
        <x:v>45974</x:v>
      </x:c>
      <x:c r="B664" s="7" t="str">
        <x:v>US_EQ</x:v>
      </x:c>
      <x:c r="C664" s="7" t="n">
        <x:v>200.3427646075</x:v>
      </x:c>
      <x:c r="D664" s="7" t="n">
        <x:v>200.3427646075</x:v>
      </x:c>
      <x:c r="E664" s="7" t="str">
        <x:v>SYNTHETIC: seeded teaching dataset; not observed market data</x:v>
      </x:c>
      <x:c r="F664" s="7" t="n">
        <x:v>46266</x:v>
      </x:c>
    </x:row>
    <x:row r="665" ht="22" customHeight="1">
      <x:c r="A665" s="8" t="n">
        <x:v>45975</x:v>
      </x:c>
      <x:c r="B665" s="7" t="str">
        <x:v>US_EQ</x:v>
      </x:c>
      <x:c r="C665" s="7" t="n">
        <x:v>202.6994992565</x:v>
      </x:c>
      <x:c r="D665" s="7" t="n">
        <x:v>202.6994992565</x:v>
      </x:c>
      <x:c r="E665" s="7" t="str">
        <x:v>SYNTHETIC: seeded teaching dataset; not observed market data</x:v>
      </x:c>
      <x:c r="F665" s="7" t="n">
        <x:v>46266</x:v>
      </x:c>
    </x:row>
    <x:row r="666" ht="22" customHeight="1">
      <x:c r="A666" s="8" t="n">
        <x:v>45978</x:v>
      </x:c>
      <x:c r="B666" s="7" t="str">
        <x:v>US_EQ</x:v>
      </x:c>
      <x:c r="C666" s="7" t="n">
        <x:v>203.6959965242</x:v>
      </x:c>
      <x:c r="D666" s="7" t="n">
        <x:v>203.6959965242</x:v>
      </x:c>
      <x:c r="E666" s="7" t="str">
        <x:v>SYNTHETIC: seeded teaching dataset; not observed market data</x:v>
      </x:c>
      <x:c r="F666" s="7" t="n">
        <x:v>46266</x:v>
      </x:c>
    </x:row>
    <x:row r="667" ht="22" customHeight="1">
      <x:c r="A667" s="8" t="n">
        <x:v>45979</x:v>
      </x:c>
      <x:c r="B667" s="7" t="str">
        <x:v>US_EQ</x:v>
      </x:c>
      <x:c r="C667" s="7" t="n">
        <x:v>202.6103250866</x:v>
      </x:c>
      <x:c r="D667" s="7" t="n">
        <x:v>202.6103250866</x:v>
      </x:c>
      <x:c r="E667" s="7" t="str">
        <x:v>SYNTHETIC: seeded teaching dataset; not observed market data</x:v>
      </x:c>
      <x:c r="F667" s="7" t="n">
        <x:v>46266</x:v>
      </x:c>
    </x:row>
    <x:row r="668" ht="22" customHeight="1">
      <x:c r="A668" s="8" t="n">
        <x:v>45980</x:v>
      </x:c>
      <x:c r="B668" s="7" t="str">
        <x:v>US_EQ</x:v>
      </x:c>
      <x:c r="C668" s="7" t="n">
        <x:v>201.7374992349</x:v>
      </x:c>
      <x:c r="D668" s="7" t="n">
        <x:v>201.7374992349</x:v>
      </x:c>
      <x:c r="E668" s="7" t="str">
        <x:v>SYNTHETIC: seeded teaching dataset; not observed market data</x:v>
      </x:c>
      <x:c r="F668" s="7" t="n">
        <x:v>46266</x:v>
      </x:c>
    </x:row>
    <x:row r="669" ht="22" customHeight="1">
      <x:c r="A669" s="8" t="n">
        <x:v>45981</x:v>
      </x:c>
      <x:c r="B669" s="7" t="str">
        <x:v>US_EQ</x:v>
      </x:c>
      <x:c r="C669" s="7" t="n">
        <x:v>199.7665895326</x:v>
      </x:c>
      <x:c r="D669" s="7" t="n">
        <x:v>199.7665895326</x:v>
      </x:c>
      <x:c r="E669" s="7" t="str">
        <x:v>SYNTHETIC: seeded teaching dataset; not observed market data</x:v>
      </x:c>
      <x:c r="F669" s="7" t="n">
        <x:v>46266</x:v>
      </x:c>
    </x:row>
    <x:row r="670" ht="22" customHeight="1">
      <x:c r="A670" s="8" t="n">
        <x:v>45982</x:v>
      </x:c>
      <x:c r="B670" s="7" t="str">
        <x:v>US_EQ</x:v>
      </x:c>
      <x:c r="C670" s="7" t="n">
        <x:v>203.8599330052</x:v>
      </x:c>
      <x:c r="D670" s="7" t="n">
        <x:v>203.8599330052</x:v>
      </x:c>
      <x:c r="E670" s="7" t="str">
        <x:v>SYNTHETIC: seeded teaching dataset; not observed market data</x:v>
      </x:c>
      <x:c r="F670" s="7" t="n">
        <x:v>46266</x:v>
      </x:c>
    </x:row>
    <x:row r="671" ht="22" customHeight="1">
      <x:c r="A671" s="8" t="n">
        <x:v>45985</x:v>
      </x:c>
      <x:c r="B671" s="7" t="str">
        <x:v>US_EQ</x:v>
      </x:c>
      <x:c r="C671" s="7" t="n">
        <x:v>208.5048868398</x:v>
      </x:c>
      <x:c r="D671" s="7" t="n">
        <x:v>208.5048868398</x:v>
      </x:c>
      <x:c r="E671" s="7" t="str">
        <x:v>SYNTHETIC: seeded teaching dataset; not observed market data</x:v>
      </x:c>
      <x:c r="F671" s="7" t="n">
        <x:v>46266</x:v>
      </x:c>
    </x:row>
    <x:row r="672" ht="22" customHeight="1">
      <x:c r="A672" s="8" t="n">
        <x:v>45986</x:v>
      </x:c>
      <x:c r="B672" s="7" t="str">
        <x:v>US_EQ</x:v>
      </x:c>
      <x:c r="C672" s="7" t="n">
        <x:v>206.8134009242</x:v>
      </x:c>
      <x:c r="D672" s="7" t="n">
        <x:v>206.8134009242</x:v>
      </x:c>
      <x:c r="E672" s="7" t="str">
        <x:v>SYNTHETIC: seeded teaching dataset; not observed market data</x:v>
      </x:c>
      <x:c r="F672" s="7" t="n">
        <x:v>46266</x:v>
      </x:c>
    </x:row>
    <x:row r="673" ht="22" customHeight="1">
      <x:c r="A673" s="8" t="n">
        <x:v>45987</x:v>
      </x:c>
      <x:c r="B673" s="7" t="str">
        <x:v>US_EQ</x:v>
      </x:c>
      <x:c r="C673" s="7" t="n">
        <x:v>204.8093809883</x:v>
      </x:c>
      <x:c r="D673" s="7" t="n">
        <x:v>204.8093809883</x:v>
      </x:c>
      <x:c r="E673" s="7" t="str">
        <x:v>SYNTHETIC: seeded teaching dataset; not observed market data</x:v>
      </x:c>
      <x:c r="F673" s="7" t="n">
        <x:v>46266</x:v>
      </x:c>
    </x:row>
    <x:row r="674" ht="22" customHeight="1">
      <x:c r="A674" s="8" t="n">
        <x:v>45988</x:v>
      </x:c>
      <x:c r="B674" s="7" t="str">
        <x:v>US_EQ</x:v>
      </x:c>
      <x:c r="C674" s="7" t="n">
        <x:v>207.4368329717</x:v>
      </x:c>
      <x:c r="D674" s="7" t="n">
        <x:v>207.4368329717</x:v>
      </x:c>
      <x:c r="E674" s="7" t="str">
        <x:v>SYNTHETIC: seeded teaching dataset; not observed market data</x:v>
      </x:c>
      <x:c r="F674" s="7" t="n">
        <x:v>46266</x:v>
      </x:c>
    </x:row>
    <x:row r="675" ht="22" customHeight="1">
      <x:c r="A675" s="8" t="n">
        <x:v>45989</x:v>
      </x:c>
      <x:c r="B675" s="7" t="str">
        <x:v>US_EQ</x:v>
      </x:c>
      <x:c r="C675" s="7" t="n">
        <x:v>201.3574211876</x:v>
      </x:c>
      <x:c r="D675" s="7" t="n">
        <x:v>201.3574211876</x:v>
      </x:c>
      <x:c r="E675" s="7" t="str">
        <x:v>SYNTHETIC: seeded teaching dataset; not observed market data</x:v>
      </x:c>
      <x:c r="F675" s="7" t="n">
        <x:v>46266</x:v>
      </x:c>
    </x:row>
    <x:row r="676" ht="22" customHeight="1">
      <x:c r="A676" s="8" t="n">
        <x:v>45992</x:v>
      </x:c>
      <x:c r="B676" s="7" t="str">
        <x:v>US_EQ</x:v>
      </x:c>
      <x:c r="C676" s="7" t="n">
        <x:v>199.6232600807</x:v>
      </x:c>
      <x:c r="D676" s="7" t="n">
        <x:v>199.6232600807</x:v>
      </x:c>
      <x:c r="E676" s="7" t="str">
        <x:v>SYNTHETIC: seeded teaching dataset; not observed market data</x:v>
      </x:c>
      <x:c r="F676" s="7" t="n">
        <x:v>46266</x:v>
      </x:c>
    </x:row>
    <x:row r="677" ht="22" customHeight="1">
      <x:c r="A677" s="8" t="n">
        <x:v>45993</x:v>
      </x:c>
      <x:c r="B677" s="7" t="str">
        <x:v>US_EQ</x:v>
      </x:c>
      <x:c r="C677" s="7" t="n">
        <x:v>202.893242581</x:v>
      </x:c>
      <x:c r="D677" s="7" t="n">
        <x:v>202.893242581</x:v>
      </x:c>
      <x:c r="E677" s="7" t="str">
        <x:v>SYNTHETIC: seeded teaching dataset; not observed market data</x:v>
      </x:c>
      <x:c r="F677" s="7" t="n">
        <x:v>46266</x:v>
      </x:c>
    </x:row>
    <x:row r="678" ht="22" customHeight="1">
      <x:c r="A678" s="8" t="n">
        <x:v>45994</x:v>
      </x:c>
      <x:c r="B678" s="7" t="str">
        <x:v>US_EQ</x:v>
      </x:c>
      <x:c r="C678" s="7" t="n">
        <x:v>198.8709762543</x:v>
      </x:c>
      <x:c r="D678" s="7" t="n">
        <x:v>198.8709762543</x:v>
      </x:c>
      <x:c r="E678" s="7" t="str">
        <x:v>SYNTHETIC: seeded teaching dataset; not observed market data</x:v>
      </x:c>
      <x:c r="F678" s="7" t="n">
        <x:v>46266</x:v>
      </x:c>
    </x:row>
    <x:row r="679" ht="22" customHeight="1">
      <x:c r="A679" s="8" t="n">
        <x:v>45995</x:v>
      </x:c>
      <x:c r="B679" s="7" t="str">
        <x:v>US_EQ</x:v>
      </x:c>
      <x:c r="C679" s="7" t="n">
        <x:v>198.9278557169</x:v>
      </x:c>
      <x:c r="D679" s="7" t="n">
        <x:v>198.9278557169</x:v>
      </x:c>
      <x:c r="E679" s="7" t="str">
        <x:v>SYNTHETIC: seeded teaching dataset; not observed market data</x:v>
      </x:c>
      <x:c r="F679" s="7" t="n">
        <x:v>46266</x:v>
      </x:c>
    </x:row>
    <x:row r="680" ht="22" customHeight="1">
      <x:c r="A680" s="8" t="n">
        <x:v>45996</x:v>
      </x:c>
      <x:c r="B680" s="7" t="str">
        <x:v>US_EQ</x:v>
      </x:c>
      <x:c r="C680" s="7" t="n">
        <x:v>196.7813482893</x:v>
      </x:c>
      <x:c r="D680" s="7" t="n">
        <x:v>196.7813482893</x:v>
      </x:c>
      <x:c r="E680" s="7" t="str">
        <x:v>SYNTHETIC: seeded teaching dataset; not observed market data</x:v>
      </x:c>
      <x:c r="F680" s="7" t="n">
        <x:v>46266</x:v>
      </x:c>
    </x:row>
    <x:row r="681" ht="22" customHeight="1">
      <x:c r="A681" s="8" t="n">
        <x:v>45999</x:v>
      </x:c>
      <x:c r="B681" s="7" t="str">
        <x:v>US_EQ</x:v>
      </x:c>
      <x:c r="C681" s="7" t="n">
        <x:v>193.1797130452</x:v>
      </x:c>
      <x:c r="D681" s="7" t="n">
        <x:v>193.1797130452</x:v>
      </x:c>
      <x:c r="E681" s="7" t="str">
        <x:v>SYNTHETIC: seeded teaching dataset; not observed market data</x:v>
      </x:c>
      <x:c r="F681" s="7" t="n">
        <x:v>46266</x:v>
      </x:c>
    </x:row>
    <x:row r="682" ht="22" customHeight="1">
      <x:c r="A682" s="8" t="n">
        <x:v>46000</x:v>
      </x:c>
      <x:c r="B682" s="7" t="str">
        <x:v>US_EQ</x:v>
      </x:c>
      <x:c r="C682" s="7" t="n">
        <x:v>194.5167009645</x:v>
      </x:c>
      <x:c r="D682" s="7" t="n">
        <x:v>194.5167009645</x:v>
      </x:c>
      <x:c r="E682" s="7" t="str">
        <x:v>SYNTHETIC: seeded teaching dataset; not observed market data</x:v>
      </x:c>
      <x:c r="F682" s="7" t="n">
        <x:v>46266</x:v>
      </x:c>
    </x:row>
    <x:row r="683" ht="22" customHeight="1">
      <x:c r="A683" s="8" t="n">
        <x:v>46001</x:v>
      </x:c>
      <x:c r="B683" s="7" t="str">
        <x:v>US_EQ</x:v>
      </x:c>
      <x:c r="C683" s="7" t="n">
        <x:v>196.4211157356</x:v>
      </x:c>
      <x:c r="D683" s="7" t="n">
        <x:v>196.4211157356</x:v>
      </x:c>
      <x:c r="E683" s="7" t="str">
        <x:v>SYNTHETIC: seeded teaching dataset; not observed market data</x:v>
      </x:c>
      <x:c r="F683" s="7" t="n">
        <x:v>46266</x:v>
      </x:c>
    </x:row>
    <x:row r="684" ht="22" customHeight="1">
      <x:c r="A684" s="8" t="n">
        <x:v>46002</x:v>
      </x:c>
      <x:c r="B684" s="7" t="str">
        <x:v>US_EQ</x:v>
      </x:c>
      <x:c r="C684" s="7" t="n">
        <x:v>198.2360750165</x:v>
      </x:c>
      <x:c r="D684" s="7" t="n">
        <x:v>198.2360750165</x:v>
      </x:c>
      <x:c r="E684" s="7" t="str">
        <x:v>SYNTHETIC: seeded teaching dataset; not observed market data</x:v>
      </x:c>
      <x:c r="F684" s="7" t="n">
        <x:v>46266</x:v>
      </x:c>
    </x:row>
    <x:row r="685" ht="22" customHeight="1">
      <x:c r="A685" s="8" t="n">
        <x:v>46003</x:v>
      </x:c>
      <x:c r="B685" s="7" t="str">
        <x:v>US_EQ</x:v>
      </x:c>
      <x:c r="C685" s="7" t="n">
        <x:v>199.6642590864</x:v>
      </x:c>
      <x:c r="D685" s="7" t="n">
        <x:v>199.6642590864</x:v>
      </x:c>
      <x:c r="E685" s="7" t="str">
        <x:v>SYNTHETIC: seeded teaching dataset; not observed market data</x:v>
      </x:c>
      <x:c r="F685" s="7" t="n">
        <x:v>46266</x:v>
      </x:c>
    </x:row>
    <x:row r="686" ht="22" customHeight="1">
      <x:c r="A686" s="8" t="n">
        <x:v>46006</x:v>
      </x:c>
      <x:c r="B686" s="7" t="str">
        <x:v>US_EQ</x:v>
      </x:c>
      <x:c r="C686" s="7" t="n">
        <x:v>198.2179267157</x:v>
      </x:c>
      <x:c r="D686" s="7" t="n">
        <x:v>198.2179267157</x:v>
      </x:c>
      <x:c r="E686" s="7" t="str">
        <x:v>SYNTHETIC: seeded teaching dataset; not observed market data</x:v>
      </x:c>
      <x:c r="F686" s="7" t="n">
        <x:v>46266</x:v>
      </x:c>
    </x:row>
    <x:row r="687" ht="22" customHeight="1">
      <x:c r="A687" s="8" t="n">
        <x:v>46007</x:v>
      </x:c>
      <x:c r="B687" s="7" t="str">
        <x:v>US_EQ</x:v>
      </x:c>
      <x:c r="C687" s="7" t="n">
        <x:v>196.8246383556</x:v>
      </x:c>
      <x:c r="D687" s="7" t="n">
        <x:v>196.8246383556</x:v>
      </x:c>
      <x:c r="E687" s="7" t="str">
        <x:v>SYNTHETIC: seeded teaching dataset; not observed market data</x:v>
      </x:c>
      <x:c r="F687" s="7" t="n">
        <x:v>46266</x:v>
      </x:c>
    </x:row>
    <x:row r="688" ht="22" customHeight="1">
      <x:c r="A688" s="8" t="n">
        <x:v>46008</x:v>
      </x:c>
      <x:c r="B688" s="7" t="str">
        <x:v>US_EQ</x:v>
      </x:c>
      <x:c r="C688" s="7" t="n">
        <x:v>197.665865164</x:v>
      </x:c>
      <x:c r="D688" s="7" t="n">
        <x:v>197.665865164</x:v>
      </x:c>
      <x:c r="E688" s="7" t="str">
        <x:v>SYNTHETIC: seeded teaching dataset; not observed market data</x:v>
      </x:c>
      <x:c r="F688" s="7" t="n">
        <x:v>46266</x:v>
      </x:c>
    </x:row>
    <x:row r="689" ht="22" customHeight="1">
      <x:c r="A689" s="8" t="n">
        <x:v>46009</x:v>
      </x:c>
      <x:c r="B689" s="7" t="str">
        <x:v>US_EQ</x:v>
      </x:c>
      <x:c r="C689" s="7" t="n">
        <x:v>194.9898027857</x:v>
      </x:c>
      <x:c r="D689" s="7" t="n">
        <x:v>194.9898027857</x:v>
      </x:c>
      <x:c r="E689" s="7" t="str">
        <x:v>SYNTHETIC: seeded teaching dataset; not observed market data</x:v>
      </x:c>
      <x:c r="F689" s="7" t="n">
        <x:v>46266</x:v>
      </x:c>
    </x:row>
    <x:row r="690" ht="22" customHeight="1">
      <x:c r="A690" s="8" t="n">
        <x:v>46010</x:v>
      </x:c>
      <x:c r="B690" s="7" t="str">
        <x:v>US_EQ</x:v>
      </x:c>
      <x:c r="C690" s="7" t="n">
        <x:v>197.4433800208</x:v>
      </x:c>
      <x:c r="D690" s="7" t="n">
        <x:v>197.4433800208</x:v>
      </x:c>
      <x:c r="E690" s="7" t="str">
        <x:v>SYNTHETIC: seeded teaching dataset; not observed market data</x:v>
      </x:c>
      <x:c r="F690" s="7" t="n">
        <x:v>46266</x:v>
      </x:c>
    </x:row>
    <x:row r="691" ht="22" customHeight="1">
      <x:c r="A691" s="8" t="n">
        <x:v>46013</x:v>
      </x:c>
      <x:c r="B691" s="7" t="str">
        <x:v>US_EQ</x:v>
      </x:c>
      <x:c r="C691" s="7" t="n">
        <x:v>193.2870900053</x:v>
      </x:c>
      <x:c r="D691" s="7" t="n">
        <x:v>193.2870900053</x:v>
      </x:c>
      <x:c r="E691" s="7" t="str">
        <x:v>SYNTHETIC: seeded teaching dataset; not observed market data</x:v>
      </x:c>
      <x:c r="F691" s="7" t="n">
        <x:v>46266</x:v>
      </x:c>
    </x:row>
    <x:row r="692" ht="22" customHeight="1">
      <x:c r="A692" s="8" t="n">
        <x:v>46014</x:v>
      </x:c>
      <x:c r="B692" s="7" t="str">
        <x:v>US_EQ</x:v>
      </x:c>
      <x:c r="C692" s="7" t="n">
        <x:v>193.1568072876</x:v>
      </x:c>
      <x:c r="D692" s="7" t="n">
        <x:v>193.1568072876</x:v>
      </x:c>
      <x:c r="E692" s="7" t="str">
        <x:v>SYNTHETIC: seeded teaching dataset; not observed market data</x:v>
      </x:c>
      <x:c r="F692" s="7" t="n">
        <x:v>46266</x:v>
      </x:c>
    </x:row>
    <x:row r="693" ht="22" customHeight="1">
      <x:c r="A693" s="8" t="n">
        <x:v>46015</x:v>
      </x:c>
      <x:c r="B693" s="7" t="str">
        <x:v>US_EQ</x:v>
      </x:c>
      <x:c r="C693" s="7" t="n">
        <x:v>190.5049585323</x:v>
      </x:c>
      <x:c r="D693" s="7" t="n">
        <x:v>190.5049585323</x:v>
      </x:c>
      <x:c r="E693" s="7" t="str">
        <x:v>SYNTHETIC: seeded teaching dataset; not observed market data</x:v>
      </x:c>
      <x:c r="F693" s="7" t="n">
        <x:v>46266</x:v>
      </x:c>
    </x:row>
    <x:row r="694" ht="22" customHeight="1">
      <x:c r="A694" s="8" t="n">
        <x:v>46016</x:v>
      </x:c>
      <x:c r="B694" s="7" t="str">
        <x:v>US_EQ</x:v>
      </x:c>
      <x:c r="C694" s="7" t="n">
        <x:v>193.8453411573</x:v>
      </x:c>
      <x:c r="D694" s="7" t="n">
        <x:v>193.8453411573</x:v>
      </x:c>
      <x:c r="E694" s="7" t="str">
        <x:v>SYNTHETIC: seeded teaching dataset; not observed market data</x:v>
      </x:c>
      <x:c r="F694" s="7" t="n">
        <x:v>46266</x:v>
      </x:c>
    </x:row>
    <x:row r="695" ht="22" customHeight="1">
      <x:c r="A695" s="8" t="n">
        <x:v>46017</x:v>
      </x:c>
      <x:c r="B695" s="7" t="str">
        <x:v>US_EQ</x:v>
      </x:c>
      <x:c r="C695" s="7" t="n">
        <x:v>191.0351469751</x:v>
      </x:c>
      <x:c r="D695" s="7" t="n">
        <x:v>191.0351469751</x:v>
      </x:c>
      <x:c r="E695" s="7" t="str">
        <x:v>SYNTHETIC: seeded teaching dataset; not observed market data</x:v>
      </x:c>
      <x:c r="F695" s="7" t="n">
        <x:v>46266</x:v>
      </x:c>
    </x:row>
    <x:row r="696" ht="22" customHeight="1">
      <x:c r="A696" s="8" t="n">
        <x:v>46020</x:v>
      </x:c>
      <x:c r="B696" s="7" t="str">
        <x:v>US_EQ</x:v>
      </x:c>
      <x:c r="C696" s="7" t="n">
        <x:v>188.8072224585</x:v>
      </x:c>
      <x:c r="D696" s="7" t="n">
        <x:v>188.8072224585</x:v>
      </x:c>
      <x:c r="E696" s="7" t="str">
        <x:v>SYNTHETIC: seeded teaching dataset; not observed market data</x:v>
      </x:c>
      <x:c r="F696" s="7" t="n">
        <x:v>46266</x:v>
      </x:c>
    </x:row>
    <x:row r="697" ht="22" customHeight="1">
      <x:c r="A697" s="8" t="n">
        <x:v>46021</x:v>
      </x:c>
      <x:c r="B697" s="7" t="str">
        <x:v>US_EQ</x:v>
      </x:c>
      <x:c r="C697" s="7" t="n">
        <x:v>191.2999901961</x:v>
      </x:c>
      <x:c r="D697" s="7" t="n">
        <x:v>191.2999901961</x:v>
      </x:c>
      <x:c r="E697" s="7" t="str">
        <x:v>SYNTHETIC: seeded teaching dataset; not observed market data</x:v>
      </x:c>
      <x:c r="F697" s="7" t="n">
        <x:v>46266</x:v>
      </x:c>
    </x:row>
    <x:row r="698" ht="22" customHeight="1">
      <x:c r="A698" s="8" t="n">
        <x:v>46022</x:v>
      </x:c>
      <x:c r="B698" s="7" t="str">
        <x:v>US_EQ</x:v>
      </x:c>
      <x:c r="C698" s="7" t="n">
        <x:v>190.1055014405</x:v>
      </x:c>
      <x:c r="D698" s="7" t="n">
        <x:v>190.1055014405</x:v>
      </x:c>
      <x:c r="E698" s="7" t="str">
        <x:v>SYNTHETIC: seeded teaching dataset; not observed market data</x:v>
      </x:c>
      <x:c r="F698" s="7" t="n">
        <x:v>46266</x:v>
      </x:c>
    </x:row>
    <x:row r="699" ht="22" customHeight="1">
      <x:c r="A699" s="8" t="n">
        <x:v>46023</x:v>
      </x:c>
      <x:c r="B699" s="7" t="str">
        <x:v>US_EQ</x:v>
      </x:c>
      <x:c r="C699" s="7" t="n">
        <x:v>189.429179852</x:v>
      </x:c>
      <x:c r="D699" s="7" t="n">
        <x:v>189.429179852</x:v>
      </x:c>
      <x:c r="E699" s="7" t="str">
        <x:v>SYNTHETIC: seeded teaching dataset; not observed market data</x:v>
      </x:c>
      <x:c r="F699" s="7" t="n">
        <x:v>46266</x:v>
      </x:c>
    </x:row>
    <x:row r="700" ht="22" customHeight="1">
      <x:c r="A700" s="8" t="n">
        <x:v>46024</x:v>
      </x:c>
      <x:c r="B700" s="7" t="str">
        <x:v>US_EQ</x:v>
      </x:c>
      <x:c r="C700" s="7" t="n">
        <x:v>191.1307150452</x:v>
      </x:c>
      <x:c r="D700" s="7" t="n">
        <x:v>191.1307150452</x:v>
      </x:c>
      <x:c r="E700" s="7" t="str">
        <x:v>SYNTHETIC: seeded teaching dataset; not observed market data</x:v>
      </x:c>
      <x:c r="F700" s="7" t="n">
        <x:v>46266</x:v>
      </x:c>
    </x:row>
    <x:row r="701" ht="22" customHeight="1">
      <x:c r="A701" s="8" t="n">
        <x:v>46027</x:v>
      </x:c>
      <x:c r="B701" s="7" t="str">
        <x:v>US_EQ</x:v>
      </x:c>
      <x:c r="C701" s="7" t="n">
        <x:v>193.3761846643</x:v>
      </x:c>
      <x:c r="D701" s="7" t="n">
        <x:v>193.3761846643</x:v>
      </x:c>
      <x:c r="E701" s="7" t="str">
        <x:v>SYNTHETIC: seeded teaching dataset; not observed market data</x:v>
      </x:c>
      <x:c r="F701" s="7" t="n">
        <x:v>46266</x:v>
      </x:c>
    </x:row>
    <x:row r="702" ht="22" customHeight="1">
      <x:c r="A702" s="8" t="n">
        <x:v>46028</x:v>
      </x:c>
      <x:c r="B702" s="7" t="str">
        <x:v>US_EQ</x:v>
      </x:c>
      <x:c r="C702" s="7" t="n">
        <x:v>192.4701651483</x:v>
      </x:c>
      <x:c r="D702" s="7" t="n">
        <x:v>192.4701651483</x:v>
      </x:c>
      <x:c r="E702" s="7" t="str">
        <x:v>SYNTHETIC: seeded teaching dataset; not observed market data</x:v>
      </x:c>
      <x:c r="F702" s="7" t="n">
        <x:v>46266</x:v>
      </x:c>
    </x:row>
    <x:row r="703" ht="22" customHeight="1">
      <x:c r="A703" s="8" t="n">
        <x:v>46029</x:v>
      </x:c>
      <x:c r="B703" s="7" t="str">
        <x:v>US_EQ</x:v>
      </x:c>
      <x:c r="C703" s="7" t="n">
        <x:v>189.5558959224</x:v>
      </x:c>
      <x:c r="D703" s="7" t="n">
        <x:v>189.5558959224</x:v>
      </x:c>
      <x:c r="E703" s="7" t="str">
        <x:v>SYNTHETIC: seeded teaching dataset; not observed market data</x:v>
      </x:c>
      <x:c r="F703" s="7" t="n">
        <x:v>46266</x:v>
      </x:c>
    </x:row>
    <x:row r="704" ht="22" customHeight="1">
      <x:c r="A704" s="8" t="n">
        <x:v>46030</x:v>
      </x:c>
      <x:c r="B704" s="7" t="str">
        <x:v>US_EQ</x:v>
      </x:c>
      <x:c r="C704" s="7" t="n">
        <x:v>192.6962362557</x:v>
      </x:c>
      <x:c r="D704" s="7" t="n">
        <x:v>192.6962362557</x:v>
      </x:c>
      <x:c r="E704" s="7" t="str">
        <x:v>SYNTHETIC: seeded teaching dataset; not observed market data</x:v>
      </x:c>
      <x:c r="F704" s="7" t="n">
        <x:v>46266</x:v>
      </x:c>
    </x:row>
    <x:row r="705" ht="22" customHeight="1">
      <x:c r="A705" s="8" t="n">
        <x:v>46031</x:v>
      </x:c>
      <x:c r="B705" s="7" t="str">
        <x:v>US_EQ</x:v>
      </x:c>
      <x:c r="C705" s="7" t="n">
        <x:v>192.4956313723</x:v>
      </x:c>
      <x:c r="D705" s="7" t="n">
        <x:v>192.4956313723</x:v>
      </x:c>
      <x:c r="E705" s="7" t="str">
        <x:v>SYNTHETIC: seeded teaching dataset; not observed market data</x:v>
      </x:c>
      <x:c r="F705" s="7" t="n">
        <x:v>46266</x:v>
      </x:c>
    </x:row>
    <x:row r="706" ht="22" customHeight="1">
      <x:c r="A706" s="8" t="n">
        <x:v>46034</x:v>
      </x:c>
      <x:c r="B706" s="7" t="str">
        <x:v>US_EQ</x:v>
      </x:c>
      <x:c r="C706" s="7" t="n">
        <x:v>187.550989923</x:v>
      </x:c>
      <x:c r="D706" s="7" t="n">
        <x:v>187.550989923</x:v>
      </x:c>
      <x:c r="E706" s="7" t="str">
        <x:v>SYNTHETIC: seeded teaching dataset; not observed market data</x:v>
      </x:c>
      <x:c r="F706" s="7" t="n">
        <x:v>46266</x:v>
      </x:c>
    </x:row>
    <x:row r="707" ht="22" customHeight="1">
      <x:c r="A707" s="8" t="n">
        <x:v>46035</x:v>
      </x:c>
      <x:c r="B707" s="7" t="str">
        <x:v>US_EQ</x:v>
      </x:c>
      <x:c r="C707" s="7" t="n">
        <x:v>184.8778275646</x:v>
      </x:c>
      <x:c r="D707" s="7" t="n">
        <x:v>184.8778275646</x:v>
      </x:c>
      <x:c r="E707" s="7" t="str">
        <x:v>SYNTHETIC: seeded teaching dataset; not observed market data</x:v>
      </x:c>
      <x:c r="F707" s="7" t="n">
        <x:v>46266</x:v>
      </x:c>
    </x:row>
    <x:row r="708" ht="22" customHeight="1">
      <x:c r="A708" s="8" t="n">
        <x:v>46036</x:v>
      </x:c>
      <x:c r="B708" s="7" t="str">
        <x:v>US_EQ</x:v>
      </x:c>
      <x:c r="C708" s="7" t="n">
        <x:v>187.0780749355</x:v>
      </x:c>
      <x:c r="D708" s="7" t="n">
        <x:v>187.0780749355</x:v>
      </x:c>
      <x:c r="E708" s="7" t="str">
        <x:v>SYNTHETIC: seeded teaching dataset; not observed market data</x:v>
      </x:c>
      <x:c r="F708" s="7" t="n">
        <x:v>46266</x:v>
      </x:c>
    </x:row>
    <x:row r="709" ht="22" customHeight="1">
      <x:c r="A709" s="8" t="n">
        <x:v>46037</x:v>
      </x:c>
      <x:c r="B709" s="7" t="str">
        <x:v>US_EQ</x:v>
      </x:c>
      <x:c r="C709" s="7" t="n">
        <x:v>189.3098512284</x:v>
      </x:c>
      <x:c r="D709" s="7" t="n">
        <x:v>189.3098512284</x:v>
      </x:c>
      <x:c r="E709" s="7" t="str">
        <x:v>SYNTHETIC: seeded teaching dataset; not observed market data</x:v>
      </x:c>
      <x:c r="F709" s="7" t="n">
        <x:v>46266</x:v>
      </x:c>
    </x:row>
    <x:row r="710" ht="22" customHeight="1">
      <x:c r="A710" s="8" t="n">
        <x:v>46038</x:v>
      </x:c>
      <x:c r="B710" s="7" t="str">
        <x:v>US_EQ</x:v>
      </x:c>
      <x:c r="C710" s="7" t="n">
        <x:v>188.4360193346</x:v>
      </x:c>
      <x:c r="D710" s="7" t="n">
        <x:v>188.4360193346</x:v>
      </x:c>
      <x:c r="E710" s="7" t="str">
        <x:v>SYNTHETIC: seeded teaching dataset; not observed market data</x:v>
      </x:c>
      <x:c r="F710" s="7" t="n">
        <x:v>46266</x:v>
      </x:c>
    </x:row>
    <x:row r="711" ht="22" customHeight="1">
      <x:c r="A711" s="8" t="n">
        <x:v>46041</x:v>
      </x:c>
      <x:c r="B711" s="7" t="str">
        <x:v>US_EQ</x:v>
      </x:c>
      <x:c r="C711" s="7" t="n">
        <x:v>188.2950579091</x:v>
      </x:c>
      <x:c r="D711" s="7" t="n">
        <x:v>188.2950579091</x:v>
      </x:c>
      <x:c r="E711" s="7" t="str">
        <x:v>SYNTHETIC: seeded teaching dataset; not observed market data</x:v>
      </x:c>
      <x:c r="F711" s="7" t="n">
        <x:v>46266</x:v>
      </x:c>
    </x:row>
    <x:row r="712" ht="22" customHeight="1">
      <x:c r="A712" s="8" t="n">
        <x:v>46042</x:v>
      </x:c>
      <x:c r="B712" s="7" t="str">
        <x:v>US_EQ</x:v>
      </x:c>
      <x:c r="C712" s="7" t="n">
        <x:v>185.9339429244</x:v>
      </x:c>
      <x:c r="D712" s="7" t="n">
        <x:v>185.9339429244</x:v>
      </x:c>
      <x:c r="E712" s="7" t="str">
        <x:v>SYNTHETIC: seeded teaching dataset; not observed market data</x:v>
      </x:c>
      <x:c r="F712" s="7" t="n">
        <x:v>46266</x:v>
      </x:c>
    </x:row>
    <x:row r="713" ht="22" customHeight="1">
      <x:c r="A713" s="8" t="n">
        <x:v>46043</x:v>
      </x:c>
      <x:c r="B713" s="7" t="str">
        <x:v>US_EQ</x:v>
      </x:c>
      <x:c r="C713" s="7" t="n">
        <x:v>183.3075101595</x:v>
      </x:c>
      <x:c r="D713" s="7" t="n">
        <x:v>183.3075101595</x:v>
      </x:c>
      <x:c r="E713" s="7" t="str">
        <x:v>SYNTHETIC: seeded teaching dataset; not observed market data</x:v>
      </x:c>
      <x:c r="F713" s="7" t="n">
        <x:v>46266</x:v>
      </x:c>
    </x:row>
    <x:row r="714" ht="22" customHeight="1">
      <x:c r="A714" s="8" t="n">
        <x:v>46044</x:v>
      </x:c>
      <x:c r="B714" s="7" t="str">
        <x:v>US_EQ</x:v>
      </x:c>
      <x:c r="C714" s="7" t="n">
        <x:v>185.3029428517</x:v>
      </x:c>
      <x:c r="D714" s="7" t="n">
        <x:v>185.3029428517</x:v>
      </x:c>
      <x:c r="E714" s="7" t="str">
        <x:v>SYNTHETIC: seeded teaching dataset; not observed market data</x:v>
      </x:c>
      <x:c r="F714" s="7" t="n">
        <x:v>46266</x:v>
      </x:c>
    </x:row>
    <x:row r="715" ht="22" customHeight="1">
      <x:c r="A715" s="8" t="n">
        <x:v>46045</x:v>
      </x:c>
      <x:c r="B715" s="7" t="str">
        <x:v>US_EQ</x:v>
      </x:c>
      <x:c r="C715" s="7" t="n">
        <x:v>185.3956963294</x:v>
      </x:c>
      <x:c r="D715" s="7" t="n">
        <x:v>185.3956963294</x:v>
      </x:c>
      <x:c r="E715" s="7" t="str">
        <x:v>SYNTHETIC: seeded teaching dataset; not observed market data</x:v>
      </x:c>
      <x:c r="F715" s="7" t="n">
        <x:v>46266</x:v>
      </x:c>
    </x:row>
    <x:row r="716" ht="22" customHeight="1">
      <x:c r="A716" s="8" t="n">
        <x:v>46048</x:v>
      </x:c>
      <x:c r="B716" s="7" t="str">
        <x:v>US_EQ</x:v>
      </x:c>
      <x:c r="C716" s="7" t="n">
        <x:v>190.1926895399</x:v>
      </x:c>
      <x:c r="D716" s="7" t="n">
        <x:v>190.1926895399</x:v>
      </x:c>
      <x:c r="E716" s="7" t="str">
        <x:v>SYNTHETIC: seeded teaching dataset; not observed market data</x:v>
      </x:c>
      <x:c r="F716" s="7" t="n">
        <x:v>46266</x:v>
      </x:c>
    </x:row>
    <x:row r="717" ht="22" customHeight="1">
      <x:c r="A717" s="8" t="n">
        <x:v>46049</x:v>
      </x:c>
      <x:c r="B717" s="7" t="str">
        <x:v>US_EQ</x:v>
      </x:c>
      <x:c r="C717" s="7" t="n">
        <x:v>188.5087949879</x:v>
      </x:c>
      <x:c r="D717" s="7" t="n">
        <x:v>188.5087949879</x:v>
      </x:c>
      <x:c r="E717" s="7" t="str">
        <x:v>SYNTHETIC: seeded teaching dataset; not observed market data</x:v>
      </x:c>
      <x:c r="F717" s="7" t="n">
        <x:v>46266</x:v>
      </x:c>
    </x:row>
    <x:row r="718" ht="22" customHeight="1">
      <x:c r="A718" s="8" t="n">
        <x:v>46050</x:v>
      </x:c>
      <x:c r="B718" s="7" t="str">
        <x:v>US_EQ</x:v>
      </x:c>
      <x:c r="C718" s="7" t="n">
        <x:v>187.1658609489</x:v>
      </x:c>
      <x:c r="D718" s="7" t="n">
        <x:v>187.1658609489</x:v>
      </x:c>
      <x:c r="E718" s="7" t="str">
        <x:v>SYNTHETIC: seeded teaching dataset; not observed market data</x:v>
      </x:c>
      <x:c r="F718" s="7" t="n">
        <x:v>46266</x:v>
      </x:c>
    </x:row>
    <x:row r="719" ht="22" customHeight="1">
      <x:c r="A719" s="8" t="n">
        <x:v>46051</x:v>
      </x:c>
      <x:c r="B719" s="7" t="str">
        <x:v>US_EQ</x:v>
      </x:c>
      <x:c r="C719" s="7" t="n">
        <x:v>185.4334008868</x:v>
      </x:c>
      <x:c r="D719" s="7" t="n">
        <x:v>185.4334008868</x:v>
      </x:c>
      <x:c r="E719" s="7" t="str">
        <x:v>SYNTHETIC: seeded teaching dataset; not observed market data</x:v>
      </x:c>
      <x:c r="F719" s="7" t="n">
        <x:v>46266</x:v>
      </x:c>
    </x:row>
    <x:row r="720" ht="22" customHeight="1">
      <x:c r="A720" s="8" t="n">
        <x:v>46052</x:v>
      </x:c>
      <x:c r="B720" s="7" t="str">
        <x:v>US_EQ</x:v>
      </x:c>
      <x:c r="C720" s="7" t="n">
        <x:v>185.3379537758</x:v>
      </x:c>
      <x:c r="D720" s="7" t="n">
        <x:v>185.3379537758</x:v>
      </x:c>
      <x:c r="E720" s="7" t="str">
        <x:v>SYNTHETIC: seeded teaching dataset; not observed market data</x:v>
      </x:c>
      <x:c r="F720" s="7" t="n">
        <x:v>46266</x:v>
      </x:c>
    </x:row>
    <x:row r="721" ht="22" customHeight="1">
      <x:c r="A721" s="8" t="n">
        <x:v>46055</x:v>
      </x:c>
      <x:c r="B721" s="7" t="str">
        <x:v>US_EQ</x:v>
      </x:c>
      <x:c r="C721" s="7" t="n">
        <x:v>184.2029861728</x:v>
      </x:c>
      <x:c r="D721" s="7" t="n">
        <x:v>184.2029861728</x:v>
      </x:c>
      <x:c r="E721" s="7" t="str">
        <x:v>SYNTHETIC: seeded teaching dataset; not observed market data</x:v>
      </x:c>
      <x:c r="F721" s="7" t="n">
        <x:v>46266</x:v>
      </x:c>
    </x:row>
    <x:row r="722" ht="22" customHeight="1">
      <x:c r="A722" s="8" t="n">
        <x:v>46056</x:v>
      </x:c>
      <x:c r="B722" s="7" t="str">
        <x:v>US_EQ</x:v>
      </x:c>
      <x:c r="C722" s="7" t="n">
        <x:v>189.0353892656</x:v>
      </x:c>
      <x:c r="D722" s="7" t="n">
        <x:v>189.0353892656</x:v>
      </x:c>
      <x:c r="E722" s="7" t="str">
        <x:v>SYNTHETIC: seeded teaching dataset; not observed market data</x:v>
      </x:c>
      <x:c r="F722" s="7" t="n">
        <x:v>46266</x:v>
      </x:c>
    </x:row>
    <x:row r="723" ht="22" customHeight="1">
      <x:c r="A723" s="8" t="n">
        <x:v>46057</x:v>
      </x:c>
      <x:c r="B723" s="7" t="str">
        <x:v>US_EQ</x:v>
      </x:c>
      <x:c r="C723" s="7" t="n">
        <x:v>193.0640895404</x:v>
      </x:c>
      <x:c r="D723" s="7" t="n">
        <x:v>193.0640895404</x:v>
      </x:c>
      <x:c r="E723" s="7" t="str">
        <x:v>SYNTHETIC: seeded teaching dataset; not observed market data</x:v>
      </x:c>
      <x:c r="F723" s="7" t="n">
        <x:v>46266</x:v>
      </x:c>
    </x:row>
    <x:row r="724" ht="22" customHeight="1">
      <x:c r="A724" s="8" t="n">
        <x:v>46058</x:v>
      </x:c>
      <x:c r="B724" s="7" t="str">
        <x:v>US_EQ</x:v>
      </x:c>
      <x:c r="C724" s="7" t="n">
        <x:v>194.6539836481</x:v>
      </x:c>
      <x:c r="D724" s="7" t="n">
        <x:v>194.6539836481</x:v>
      </x:c>
      <x:c r="E724" s="7" t="str">
        <x:v>SYNTHETIC: seeded teaching dataset; not observed market data</x:v>
      </x:c>
      <x:c r="F724" s="7" t="n">
        <x:v>46266</x:v>
      </x:c>
    </x:row>
    <x:row r="725" ht="22" customHeight="1">
      <x:c r="A725" s="8" t="n">
        <x:v>46059</x:v>
      </x:c>
      <x:c r="B725" s="7" t="str">
        <x:v>US_EQ</x:v>
      </x:c>
      <x:c r="C725" s="7" t="n">
        <x:v>192.4383581292</x:v>
      </x:c>
      <x:c r="D725" s="7" t="n">
        <x:v>192.4383581292</x:v>
      </x:c>
      <x:c r="E725" s="7" t="str">
        <x:v>SYNTHETIC: seeded teaching dataset; not observed market data</x:v>
      </x:c>
      <x:c r="F725" s="7" t="n">
        <x:v>46266</x:v>
      </x:c>
    </x:row>
    <x:row r="726" ht="22" customHeight="1">
      <x:c r="A726" s="8" t="n">
        <x:v>46062</x:v>
      </x:c>
      <x:c r="B726" s="7" t="str">
        <x:v>US_EQ</x:v>
      </x:c>
      <x:c r="C726" s="7" t="n">
        <x:v>193.0764726493</x:v>
      </x:c>
      <x:c r="D726" s="7" t="n">
        <x:v>193.0764726493</x:v>
      </x:c>
      <x:c r="E726" s="7" t="str">
        <x:v>SYNTHETIC: seeded teaching dataset; not observed market data</x:v>
      </x:c>
      <x:c r="F726" s="7" t="n">
        <x:v>46266</x:v>
      </x:c>
    </x:row>
    <x:row r="727" ht="22" customHeight="1">
      <x:c r="A727" s="8" t="n">
        <x:v>46063</x:v>
      </x:c>
      <x:c r="B727" s="7" t="str">
        <x:v>US_EQ</x:v>
      </x:c>
      <x:c r="C727" s="7" t="n">
        <x:v>188.9334356259</x:v>
      </x:c>
      <x:c r="D727" s="7" t="n">
        <x:v>188.9334356259</x:v>
      </x:c>
      <x:c r="E727" s="7" t="str">
        <x:v>SYNTHETIC: seeded teaching dataset; not observed market data</x:v>
      </x:c>
      <x:c r="F727" s="7" t="n">
        <x:v>46266</x:v>
      </x:c>
    </x:row>
    <x:row r="728" ht="22" customHeight="1">
      <x:c r="A728" s="8" t="n">
        <x:v>46064</x:v>
      </x:c>
      <x:c r="B728" s="7" t="str">
        <x:v>US_EQ</x:v>
      </x:c>
      <x:c r="C728" s="7" t="n">
        <x:v>194.2250734871</x:v>
      </x:c>
      <x:c r="D728" s="7" t="n">
        <x:v>194.2250734871</x:v>
      </x:c>
      <x:c r="E728" s="7" t="str">
        <x:v>SYNTHETIC: seeded teaching dataset; not observed market data</x:v>
      </x:c>
      <x:c r="F728" s="7" t="n">
        <x:v>46266</x:v>
      </x:c>
    </x:row>
    <x:row r="729" ht="22" customHeight="1">
      <x:c r="A729" s="8" t="n">
        <x:v>46065</x:v>
      </x:c>
      <x:c r="B729" s="7" t="str">
        <x:v>US_EQ</x:v>
      </x:c>
      <x:c r="C729" s="7" t="n">
        <x:v>193.8410386104</x:v>
      </x:c>
      <x:c r="D729" s="7" t="n">
        <x:v>193.8410386104</x:v>
      </x:c>
      <x:c r="E729" s="7" t="str">
        <x:v>SYNTHETIC: seeded teaching dataset; not observed market data</x:v>
      </x:c>
      <x:c r="F729" s="7" t="n">
        <x:v>46266</x:v>
      </x:c>
    </x:row>
    <x:row r="730" ht="22" customHeight="1">
      <x:c r="A730" s="8" t="n">
        <x:v>46066</x:v>
      </x:c>
      <x:c r="B730" s="7" t="str">
        <x:v>US_EQ</x:v>
      </x:c>
      <x:c r="C730" s="7" t="n">
        <x:v>193.4931097611</x:v>
      </x:c>
      <x:c r="D730" s="7" t="n">
        <x:v>193.4931097611</x:v>
      </x:c>
      <x:c r="E730" s="7" t="str">
        <x:v>SYNTHETIC: seeded teaching dataset; not observed market data</x:v>
      </x:c>
      <x:c r="F730" s="7" t="n">
        <x:v>46266</x:v>
      </x:c>
    </x:row>
    <x:row r="731" ht="22" customHeight="1">
      <x:c r="A731" s="8" t="n">
        <x:v>46069</x:v>
      </x:c>
      <x:c r="B731" s="7" t="str">
        <x:v>US_EQ</x:v>
      </x:c>
      <x:c r="C731" s="7" t="n">
        <x:v>194.3959856261</x:v>
      </x:c>
      <x:c r="D731" s="7" t="n">
        <x:v>194.3959856261</x:v>
      </x:c>
      <x:c r="E731" s="7" t="str">
        <x:v>SYNTHETIC: seeded teaching dataset; not observed market data</x:v>
      </x:c>
      <x:c r="F731" s="7" t="n">
        <x:v>46266</x:v>
      </x:c>
    </x:row>
    <x:row r="732" ht="22" customHeight="1">
      <x:c r="A732" s="8" t="n">
        <x:v>46070</x:v>
      </x:c>
      <x:c r="B732" s="7" t="str">
        <x:v>US_EQ</x:v>
      </x:c>
      <x:c r="C732" s="7" t="n">
        <x:v>198.5236706653</x:v>
      </x:c>
      <x:c r="D732" s="7" t="n">
        <x:v>198.5236706653</x:v>
      </x:c>
      <x:c r="E732" s="7" t="str">
        <x:v>SYNTHETIC: seeded teaching dataset; not observed market data</x:v>
      </x:c>
      <x:c r="F732" s="7" t="n">
        <x:v>46266</x:v>
      </x:c>
    </x:row>
    <x:row r="733" ht="22" customHeight="1">
      <x:c r="A733" s="8" t="n">
        <x:v>46071</x:v>
      </x:c>
      <x:c r="B733" s="7" t="str">
        <x:v>US_EQ</x:v>
      </x:c>
      <x:c r="C733" s="7" t="n">
        <x:v>198.9880669519</x:v>
      </x:c>
      <x:c r="D733" s="7" t="n">
        <x:v>198.9880669519</x:v>
      </x:c>
      <x:c r="E733" s="7" t="str">
        <x:v>SYNTHETIC: seeded teaching dataset; not observed market data</x:v>
      </x:c>
      <x:c r="F733" s="7" t="n">
        <x:v>46266</x:v>
      </x:c>
    </x:row>
    <x:row r="734" ht="22" customHeight="1">
      <x:c r="A734" s="8" t="n">
        <x:v>46072</x:v>
      </x:c>
      <x:c r="B734" s="7" t="str">
        <x:v>US_EQ</x:v>
      </x:c>
      <x:c r="C734" s="7" t="n">
        <x:v>198.1251985669</x:v>
      </x:c>
      <x:c r="D734" s="7" t="n">
        <x:v>198.1251985669</x:v>
      </x:c>
      <x:c r="E734" s="7" t="str">
        <x:v>SYNTHETIC: seeded teaching dataset; not observed market data</x:v>
      </x:c>
      <x:c r="F734" s="7" t="n">
        <x:v>46266</x:v>
      </x:c>
    </x:row>
    <x:row r="735" ht="22" customHeight="1">
      <x:c r="A735" s="8" t="n">
        <x:v>46073</x:v>
      </x:c>
      <x:c r="B735" s="7" t="str">
        <x:v>US_EQ</x:v>
      </x:c>
      <x:c r="C735" s="7" t="n">
        <x:v>198.4276211858</x:v>
      </x:c>
      <x:c r="D735" s="7" t="n">
        <x:v>198.4276211858</x:v>
      </x:c>
      <x:c r="E735" s="7" t="str">
        <x:v>SYNTHETIC: seeded teaching dataset; not observed market data</x:v>
      </x:c>
      <x:c r="F735" s="7" t="n">
        <x:v>46266</x:v>
      </x:c>
    </x:row>
    <x:row r="736" ht="22" customHeight="1">
      <x:c r="A736" s="8" t="n">
        <x:v>46076</x:v>
      </x:c>
      <x:c r="B736" s="7" t="str">
        <x:v>US_EQ</x:v>
      </x:c>
      <x:c r="C736" s="7" t="n">
        <x:v>196.9881142659</x:v>
      </x:c>
      <x:c r="D736" s="7" t="n">
        <x:v>196.9881142659</x:v>
      </x:c>
      <x:c r="E736" s="7" t="str">
        <x:v>SYNTHETIC: seeded teaching dataset; not observed market data</x:v>
      </x:c>
      <x:c r="F736" s="7" t="n">
        <x:v>46266</x:v>
      </x:c>
    </x:row>
    <x:row r="737" ht="22" customHeight="1">
      <x:c r="A737" s="8" t="n">
        <x:v>46077</x:v>
      </x:c>
      <x:c r="B737" s="7" t="str">
        <x:v>US_EQ</x:v>
      </x:c>
      <x:c r="C737" s="7" t="n">
        <x:v>198.2086356829</x:v>
      </x:c>
      <x:c r="D737" s="7" t="n">
        <x:v>198.2086356829</x:v>
      </x:c>
      <x:c r="E737" s="7" t="str">
        <x:v>SYNTHETIC: seeded teaching dataset; not observed market data</x:v>
      </x:c>
      <x:c r="F737" s="7" t="n">
        <x:v>46266</x:v>
      </x:c>
    </x:row>
    <x:row r="738" ht="22" customHeight="1">
      <x:c r="A738" s="8" t="n">
        <x:v>46078</x:v>
      </x:c>
      <x:c r="B738" s="7" t="str">
        <x:v>US_EQ</x:v>
      </x:c>
      <x:c r="C738" s="7" t="n">
        <x:v>199.0225598014</x:v>
      </x:c>
      <x:c r="D738" s="7" t="n">
        <x:v>199.0225598014</x:v>
      </x:c>
      <x:c r="E738" s="7" t="str">
        <x:v>SYNTHETIC: seeded teaching dataset; not observed market data</x:v>
      </x:c>
      <x:c r="F738" s="7" t="n">
        <x:v>46266</x:v>
      </x:c>
    </x:row>
    <x:row r="739" ht="22" customHeight="1">
      <x:c r="A739" s="8" t="n">
        <x:v>46079</x:v>
      </x:c>
      <x:c r="B739" s="7" t="str">
        <x:v>US_EQ</x:v>
      </x:c>
      <x:c r="C739" s="7" t="n">
        <x:v>197.73963831</x:v>
      </x:c>
      <x:c r="D739" s="7" t="n">
        <x:v>197.73963831</x:v>
      </x:c>
      <x:c r="E739" s="7" t="str">
        <x:v>SYNTHETIC: seeded teaching dataset; not observed market data</x:v>
      </x:c>
      <x:c r="F739" s="7" t="n">
        <x:v>46266</x:v>
      </x:c>
    </x:row>
    <x:row r="740" ht="22" customHeight="1">
      <x:c r="A740" s="8" t="n">
        <x:v>46080</x:v>
      </x:c>
      <x:c r="B740" s="7" t="str">
        <x:v>US_EQ</x:v>
      </x:c>
      <x:c r="C740" s="7" t="n">
        <x:v>197.640040551</x:v>
      </x:c>
      <x:c r="D740" s="7" t="n">
        <x:v>197.640040551</x:v>
      </x:c>
      <x:c r="E740" s="7" t="str">
        <x:v>SYNTHETIC: seeded teaching dataset; not observed market data</x:v>
      </x:c>
      <x:c r="F740" s="7" t="n">
        <x:v>46266</x:v>
      </x:c>
    </x:row>
    <x:row r="741" ht="22" customHeight="1">
      <x:c r="A741" s="8" t="n">
        <x:v>46083</x:v>
      </x:c>
      <x:c r="B741" s="7" t="str">
        <x:v>US_EQ</x:v>
      </x:c>
      <x:c r="C741" s="7" t="n">
        <x:v>197.7193497724</x:v>
      </x:c>
      <x:c r="D741" s="7" t="n">
        <x:v>197.7193497724</x:v>
      </x:c>
      <x:c r="E741" s="7" t="str">
        <x:v>SYNTHETIC: seeded teaching dataset; not observed market data</x:v>
      </x:c>
      <x:c r="F741" s="7" t="n">
        <x:v>46266</x:v>
      </x:c>
    </x:row>
    <x:row r="742" ht="22" customHeight="1">
      <x:c r="A742" s="8" t="n">
        <x:v>46084</x:v>
      </x:c>
      <x:c r="B742" s="7" t="str">
        <x:v>US_EQ</x:v>
      </x:c>
      <x:c r="C742" s="7" t="n">
        <x:v>196.8825388796</x:v>
      </x:c>
      <x:c r="D742" s="7" t="n">
        <x:v>196.8825388796</x:v>
      </x:c>
      <x:c r="E742" s="7" t="str">
        <x:v>SYNTHETIC: seeded teaching dataset; not observed market data</x:v>
      </x:c>
      <x:c r="F742" s="7" t="n">
        <x:v>46266</x:v>
      </x:c>
    </x:row>
    <x:row r="743" ht="22" customHeight="1">
      <x:c r="A743" s="8" t="n">
        <x:v>46085</x:v>
      </x:c>
      <x:c r="B743" s="7" t="str">
        <x:v>US_EQ</x:v>
      </x:c>
      <x:c r="C743" s="7" t="n">
        <x:v>202.7118775879</x:v>
      </x:c>
      <x:c r="D743" s="7" t="n">
        <x:v>202.7118775879</x:v>
      </x:c>
      <x:c r="E743" s="7" t="str">
        <x:v>SYNTHETIC: seeded teaching dataset; not observed market data</x:v>
      </x:c>
      <x:c r="F743" s="7" t="n">
        <x:v>46266</x:v>
      </x:c>
    </x:row>
    <x:row r="744" ht="22" customHeight="1">
      <x:c r="A744" s="8" t="n">
        <x:v>46086</x:v>
      </x:c>
      <x:c r="B744" s="7" t="str">
        <x:v>US_EQ</x:v>
      </x:c>
      <x:c r="C744" s="7" t="n">
        <x:v>200.639899025</x:v>
      </x:c>
      <x:c r="D744" s="7" t="n">
        <x:v>200.639899025</x:v>
      </x:c>
      <x:c r="E744" s="7" t="str">
        <x:v>SYNTHETIC: seeded teaching dataset; not observed market data</x:v>
      </x:c>
      <x:c r="F744" s="7" t="n">
        <x:v>46266</x:v>
      </x:c>
    </x:row>
    <x:row r="745" ht="22" customHeight="1">
      <x:c r="A745" s="8" t="n">
        <x:v>46087</x:v>
      </x:c>
      <x:c r="B745" s="7" t="str">
        <x:v>US_EQ</x:v>
      </x:c>
      <x:c r="C745" s="7" t="n">
        <x:v>200.2842452951</x:v>
      </x:c>
      <x:c r="D745" s="7" t="n">
        <x:v>200.2842452951</x:v>
      </x:c>
      <x:c r="E745" s="7" t="str">
        <x:v>SYNTHETIC: seeded teaching dataset; not observed market data</x:v>
      </x:c>
      <x:c r="F745" s="7" t="n">
        <x:v>46266</x:v>
      </x:c>
    </x:row>
    <x:row r="746" ht="22" customHeight="1">
      <x:c r="A746" s="8" t="n">
        <x:v>46090</x:v>
      </x:c>
      <x:c r="B746" s="7" t="str">
        <x:v>US_EQ</x:v>
      </x:c>
      <x:c r="C746" s="7" t="n">
        <x:v>200.3312966235</x:v>
      </x:c>
      <x:c r="D746" s="7" t="n">
        <x:v>200.3312966235</x:v>
      </x:c>
      <x:c r="E746" s="7" t="str">
        <x:v>SYNTHETIC: seeded teaching dataset; not observed market data</x:v>
      </x:c>
      <x:c r="F746" s="7" t="n">
        <x:v>46266</x:v>
      </x:c>
    </x:row>
    <x:row r="747" ht="22" customHeight="1">
      <x:c r="A747" s="8" t="n">
        <x:v>46091</x:v>
      </x:c>
      <x:c r="B747" s="7" t="str">
        <x:v>US_EQ</x:v>
      </x:c>
      <x:c r="C747" s="7" t="n">
        <x:v>199.3417640864</x:v>
      </x:c>
      <x:c r="D747" s="7" t="n">
        <x:v>199.3417640864</x:v>
      </x:c>
      <x:c r="E747" s="7" t="str">
        <x:v>SYNTHETIC: seeded teaching dataset; not observed market data</x:v>
      </x:c>
      <x:c r="F747" s="7" t="n">
        <x:v>46266</x:v>
      </x:c>
    </x:row>
    <x:row r="748" ht="22" customHeight="1">
      <x:c r="A748" s="8" t="n">
        <x:v>46092</x:v>
      </x:c>
      <x:c r="B748" s="7" t="str">
        <x:v>US_EQ</x:v>
      </x:c>
      <x:c r="C748" s="7" t="n">
        <x:v>204.3495309838</x:v>
      </x:c>
      <x:c r="D748" s="7" t="n">
        <x:v>204.3495309838</x:v>
      </x:c>
      <x:c r="E748" s="7" t="str">
        <x:v>SYNTHETIC: seeded teaching dataset; not observed market data</x:v>
      </x:c>
      <x:c r="F748" s="7" t="n">
        <x:v>46266</x:v>
      </x:c>
    </x:row>
    <x:row r="749" ht="22" customHeight="1">
      <x:c r="A749" s="8" t="n">
        <x:v>46093</x:v>
      </x:c>
      <x:c r="B749" s="7" t="str">
        <x:v>US_EQ</x:v>
      </x:c>
      <x:c r="C749" s="7" t="n">
        <x:v>209.3661626818</x:v>
      </x:c>
      <x:c r="D749" s="7" t="n">
        <x:v>209.3661626818</x:v>
      </x:c>
      <x:c r="E749" s="7" t="str">
        <x:v>SYNTHETIC: seeded teaching dataset; not observed market data</x:v>
      </x:c>
      <x:c r="F749" s="7" t="n">
        <x:v>46266</x:v>
      </x:c>
    </x:row>
    <x:row r="750" ht="22" customHeight="1">
      <x:c r="A750" s="8" t="n">
        <x:v>46094</x:v>
      </x:c>
      <x:c r="B750" s="7" t="str">
        <x:v>US_EQ</x:v>
      </x:c>
      <x:c r="C750" s="7" t="n">
        <x:v>209.3868137468</x:v>
      </x:c>
      <x:c r="D750" s="7" t="n">
        <x:v>209.3868137468</x:v>
      </x:c>
      <x:c r="E750" s="7" t="str">
        <x:v>SYNTHETIC: seeded teaching dataset; not observed market data</x:v>
      </x:c>
      <x:c r="F750" s="7" t="n">
        <x:v>46266</x:v>
      </x:c>
    </x:row>
    <x:row r="751" ht="22" customHeight="1">
      <x:c r="A751" s="8" t="n">
        <x:v>46097</x:v>
      </x:c>
      <x:c r="B751" s="7" t="str">
        <x:v>US_EQ</x:v>
      </x:c>
      <x:c r="C751" s="7" t="n">
        <x:v>210.2681935339</x:v>
      </x:c>
      <x:c r="D751" s="7" t="n">
        <x:v>210.2681935339</x:v>
      </x:c>
      <x:c r="E751" s="7" t="str">
        <x:v>SYNTHETIC: seeded teaching dataset; not observed market data</x:v>
      </x:c>
      <x:c r="F751" s="7" t="n">
        <x:v>46266</x:v>
      </x:c>
    </x:row>
    <x:row r="752" ht="22" customHeight="1">
      <x:c r="A752" s="8" t="n">
        <x:v>46098</x:v>
      </x:c>
      <x:c r="B752" s="7" t="str">
        <x:v>US_EQ</x:v>
      </x:c>
      <x:c r="C752" s="7" t="n">
        <x:v>210.7973490824</x:v>
      </x:c>
      <x:c r="D752" s="7" t="n">
        <x:v>210.7973490824</x:v>
      </x:c>
      <x:c r="E752" s="7" t="str">
        <x:v>SYNTHETIC: seeded teaching dataset; not observed market data</x:v>
      </x:c>
      <x:c r="F752" s="7" t="n">
        <x:v>46266</x:v>
      </x:c>
    </x:row>
    <x:row r="753" ht="22" customHeight="1">
      <x:c r="A753" s="8" t="n">
        <x:v>46099</x:v>
      </x:c>
      <x:c r="B753" s="7" t="str">
        <x:v>US_EQ</x:v>
      </x:c>
      <x:c r="C753" s="7" t="n">
        <x:v>208.9254253553</x:v>
      </x:c>
      <x:c r="D753" s="7" t="n">
        <x:v>208.9254253553</x:v>
      </x:c>
      <x:c r="E753" s="7" t="str">
        <x:v>SYNTHETIC: seeded teaching dataset; not observed market data</x:v>
      </x:c>
      <x:c r="F753" s="7" t="n">
        <x:v>46266</x:v>
      </x:c>
    </x:row>
    <x:row r="754" ht="22" customHeight="1">
      <x:c r="A754" s="8" t="n">
        <x:v>46100</x:v>
      </x:c>
      <x:c r="B754" s="7" t="str">
        <x:v>US_EQ</x:v>
      </x:c>
      <x:c r="C754" s="7" t="n">
        <x:v>212.1863712472</x:v>
      </x:c>
      <x:c r="D754" s="7" t="n">
        <x:v>212.1863712472</x:v>
      </x:c>
      <x:c r="E754" s="7" t="str">
        <x:v>SYNTHETIC: seeded teaching dataset; not observed market data</x:v>
      </x:c>
      <x:c r="F754" s="7" t="n">
        <x:v>46266</x:v>
      </x:c>
    </x:row>
    <x:row r="755" ht="22" customHeight="1">
      <x:c r="A755" s="8" t="n">
        <x:v>46101</x:v>
      </x:c>
      <x:c r="B755" s="7" t="str">
        <x:v>US_EQ</x:v>
      </x:c>
      <x:c r="C755" s="7" t="n">
        <x:v>207.2562326397</x:v>
      </x:c>
      <x:c r="D755" s="7" t="n">
        <x:v>207.2562326397</x:v>
      </x:c>
      <x:c r="E755" s="7" t="str">
        <x:v>SYNTHETIC: seeded teaching dataset; not observed market data</x:v>
      </x:c>
      <x:c r="F755" s="7" t="n">
        <x:v>46266</x:v>
      </x:c>
    </x:row>
    <x:row r="756" ht="22" customHeight="1">
      <x:c r="A756" s="8" t="n">
        <x:v>46104</x:v>
      </x:c>
      <x:c r="B756" s="7" t="str">
        <x:v>US_EQ</x:v>
      </x:c>
      <x:c r="C756" s="7" t="n">
        <x:v>206.1900635685</x:v>
      </x:c>
      <x:c r="D756" s="7" t="n">
        <x:v>206.1900635685</x:v>
      </x:c>
      <x:c r="E756" s="7" t="str">
        <x:v>SYNTHETIC: seeded teaching dataset; not observed market data</x:v>
      </x:c>
      <x:c r="F756" s="7" t="n">
        <x:v>46266</x:v>
      </x:c>
    </x:row>
    <x:row r="757" ht="22" customHeight="1">
      <x:c r="A757" s="8" t="n">
        <x:v>46105</x:v>
      </x:c>
      <x:c r="B757" s="7" t="str">
        <x:v>US_EQ</x:v>
      </x:c>
      <x:c r="C757" s="7" t="n">
        <x:v>210.692845087</x:v>
      </x:c>
      <x:c r="D757" s="7" t="n">
        <x:v>210.692845087</x:v>
      </x:c>
      <x:c r="E757" s="7" t="str">
        <x:v>SYNTHETIC: seeded teaching dataset; not observed market data</x:v>
      </x:c>
      <x:c r="F757" s="7" t="n">
        <x:v>46266</x:v>
      </x:c>
    </x:row>
    <x:row r="758" ht="22" customHeight="1">
      <x:c r="A758" s="8" t="n">
        <x:v>46106</x:v>
      </x:c>
      <x:c r="B758" s="7" t="str">
        <x:v>US_EQ</x:v>
      </x:c>
      <x:c r="C758" s="7" t="n">
        <x:v>211.3117166527</x:v>
      </x:c>
      <x:c r="D758" s="7" t="n">
        <x:v>211.3117166527</x:v>
      </x:c>
      <x:c r="E758" s="7" t="str">
        <x:v>SYNTHETIC: seeded teaching dataset; not observed market data</x:v>
      </x:c>
      <x:c r="F758" s="7" t="n">
        <x:v>46266</x:v>
      </x:c>
    </x:row>
    <x:row r="759" ht="22" customHeight="1">
      <x:c r="A759" s="8" t="n">
        <x:v>46107</x:v>
      </x:c>
      <x:c r="B759" s="7" t="str">
        <x:v>US_EQ</x:v>
      </x:c>
      <x:c r="C759" s="7" t="n">
        <x:v>206.4485049314</x:v>
      </x:c>
      <x:c r="D759" s="7" t="n">
        <x:v>206.4485049314</x:v>
      </x:c>
      <x:c r="E759" s="7" t="str">
        <x:v>SYNTHETIC: seeded teaching dataset; not observed market data</x:v>
      </x:c>
      <x:c r="F759" s="7" t="n">
        <x:v>46266</x:v>
      </x:c>
    </x:row>
    <x:row r="760" ht="22" customHeight="1">
      <x:c r="A760" s="8" t="n">
        <x:v>46108</x:v>
      </x:c>
      <x:c r="B760" s="7" t="str">
        <x:v>US_EQ</x:v>
      </x:c>
      <x:c r="C760" s="7" t="n">
        <x:v>206.2185318106</x:v>
      </x:c>
      <x:c r="D760" s="7" t="n">
        <x:v>206.2185318106</x:v>
      </x:c>
      <x:c r="E760" s="7" t="str">
        <x:v>SYNTHETIC: seeded teaching dataset; not observed market data</x:v>
      </x:c>
      <x:c r="F760" s="7" t="n">
        <x:v>46266</x:v>
      </x:c>
    </x:row>
    <x:row r="761" ht="22" customHeight="1">
      <x:c r="A761" s="8" t="n">
        <x:v>46111</x:v>
      </x:c>
      <x:c r="B761" s="7" t="str">
        <x:v>US_EQ</x:v>
      </x:c>
      <x:c r="C761" s="7" t="n">
        <x:v>206.4463401796</x:v>
      </x:c>
      <x:c r="D761" s="7" t="n">
        <x:v>206.4463401796</x:v>
      </x:c>
      <x:c r="E761" s="7" t="str">
        <x:v>SYNTHETIC: seeded teaching dataset; not observed market data</x:v>
      </x:c>
      <x:c r="F761" s="7" t="n">
        <x:v>46266</x:v>
      </x:c>
    </x:row>
    <x:row r="762" ht="22" customHeight="1">
      <x:c r="A762" s="8" t="n">
        <x:v>46112</x:v>
      </x:c>
      <x:c r="B762" s="7" t="str">
        <x:v>US_EQ</x:v>
      </x:c>
      <x:c r="C762" s="7" t="n">
        <x:v>210.0860613389</x:v>
      </x:c>
      <x:c r="D762" s="7" t="n">
        <x:v>210.0860613389</x:v>
      </x:c>
      <x:c r="E762" s="7" t="str">
        <x:v>SYNTHETIC: seeded teaching dataset; not observed market data</x:v>
      </x:c>
      <x:c r="F762" s="7" t="n">
        <x:v>46266</x:v>
      </x:c>
    </x:row>
    <x:row r="763" ht="22" customHeight="1">
      <x:c r="A763" s="8" t="n">
        <x:v>46113</x:v>
      </x:c>
      <x:c r="B763" s="7" t="str">
        <x:v>US_EQ</x:v>
      </x:c>
      <x:c r="C763" s="7" t="n">
        <x:v>207.5892159795</x:v>
      </x:c>
      <x:c r="D763" s="7" t="n">
        <x:v>207.5892159795</x:v>
      </x:c>
      <x:c r="E763" s="7" t="str">
        <x:v>SYNTHETIC: seeded teaching dataset; not observed market data</x:v>
      </x:c>
      <x:c r="F763" s="7" t="n">
        <x:v>46266</x:v>
      </x:c>
    </x:row>
    <x:row r="764" ht="22" customHeight="1">
      <x:c r="A764" s="8" t="n">
        <x:v>46114</x:v>
      </x:c>
      <x:c r="B764" s="7" t="str">
        <x:v>US_EQ</x:v>
      </x:c>
      <x:c r="C764" s="7" t="n">
        <x:v>206.9030684496</x:v>
      </x:c>
      <x:c r="D764" s="7" t="n">
        <x:v>206.9030684496</x:v>
      </x:c>
      <x:c r="E764" s="7" t="str">
        <x:v>SYNTHETIC: seeded teaching dataset; not observed market data</x:v>
      </x:c>
      <x:c r="F764" s="7" t="n">
        <x:v>46266</x:v>
      </x:c>
    </x:row>
    <x:row r="765" ht="22" customHeight="1">
      <x:c r="A765" s="8" t="n">
        <x:v>46115</x:v>
      </x:c>
      <x:c r="B765" s="7" t="str">
        <x:v>US_EQ</x:v>
      </x:c>
      <x:c r="C765" s="7" t="n">
        <x:v>208.7707822538</x:v>
      </x:c>
      <x:c r="D765" s="7" t="n">
        <x:v>208.7707822538</x:v>
      </x:c>
      <x:c r="E765" s="7" t="str">
        <x:v>SYNTHETIC: seeded teaching dataset; not observed market data</x:v>
      </x:c>
      <x:c r="F765" s="7" t="n">
        <x:v>46266</x:v>
      </x:c>
    </x:row>
    <x:row r="766" ht="22" customHeight="1">
      <x:c r="A766" s="8" t="n">
        <x:v>46118</x:v>
      </x:c>
      <x:c r="B766" s="7" t="str">
        <x:v>US_EQ</x:v>
      </x:c>
      <x:c r="C766" s="7" t="n">
        <x:v>203.3962198994</x:v>
      </x:c>
      <x:c r="D766" s="7" t="n">
        <x:v>203.3962198994</x:v>
      </x:c>
      <x:c r="E766" s="7" t="str">
        <x:v>SYNTHETIC: seeded teaching dataset; not observed market data</x:v>
      </x:c>
      <x:c r="F766" s="7" t="n">
        <x:v>46266</x:v>
      </x:c>
    </x:row>
    <x:row r="767" ht="22" customHeight="1">
      <x:c r="A767" s="8" t="n">
        <x:v>46119</x:v>
      </x:c>
      <x:c r="B767" s="7" t="str">
        <x:v>US_EQ</x:v>
      </x:c>
      <x:c r="C767" s="7" t="n">
        <x:v>204.8239160476</x:v>
      </x:c>
      <x:c r="D767" s="7" t="n">
        <x:v>204.8239160476</x:v>
      </x:c>
      <x:c r="E767" s="7" t="str">
        <x:v>SYNTHETIC: seeded teaching dataset; not observed market data</x:v>
      </x:c>
      <x:c r="F767" s="7" t="n">
        <x:v>46266</x:v>
      </x:c>
    </x:row>
    <x:row r="768" ht="22" customHeight="1">
      <x:c r="A768" s="8" t="n">
        <x:v>46120</x:v>
      </x:c>
      <x:c r="B768" s="7" t="str">
        <x:v>US_EQ</x:v>
      </x:c>
      <x:c r="C768" s="7" t="n">
        <x:v>208.4937373736</x:v>
      </x:c>
      <x:c r="D768" s="7" t="n">
        <x:v>208.4937373736</x:v>
      </x:c>
      <x:c r="E768" s="7" t="str">
        <x:v>SYNTHETIC: seeded teaching dataset; not observed market data</x:v>
      </x:c>
      <x:c r="F768" s="7" t="n">
        <x:v>46266</x:v>
      </x:c>
    </x:row>
    <x:row r="769" ht="22" customHeight="1">
      <x:c r="A769" s="8" t="n">
        <x:v>46121</x:v>
      </x:c>
      <x:c r="B769" s="7" t="str">
        <x:v>US_EQ</x:v>
      </x:c>
      <x:c r="C769" s="7" t="n">
        <x:v>210.2139931932</x:v>
      </x:c>
      <x:c r="D769" s="7" t="n">
        <x:v>210.2139931932</x:v>
      </x:c>
      <x:c r="E769" s="7" t="str">
        <x:v>SYNTHETIC: seeded teaching dataset; not observed market data</x:v>
      </x:c>
      <x:c r="F769" s="7" t="n">
        <x:v>46266</x:v>
      </x:c>
    </x:row>
    <x:row r="770" ht="22" customHeight="1">
      <x:c r="A770" s="8" t="n">
        <x:v>46122</x:v>
      </x:c>
      <x:c r="B770" s="7" t="str">
        <x:v>US_EQ</x:v>
      </x:c>
      <x:c r="C770" s="7" t="n">
        <x:v>214.3915228231</x:v>
      </x:c>
      <x:c r="D770" s="7" t="n">
        <x:v>214.3915228231</x:v>
      </x:c>
      <x:c r="E770" s="7" t="str">
        <x:v>SYNTHETIC: seeded teaching dataset; not observed market data</x:v>
      </x:c>
      <x:c r="F770" s="7" t="n">
        <x:v>46266</x:v>
      </x:c>
    </x:row>
    <x:row r="771" ht="22" customHeight="1">
      <x:c r="A771" s="8" t="n">
        <x:v>46125</x:v>
      </x:c>
      <x:c r="B771" s="7" t="str">
        <x:v>US_EQ</x:v>
      </x:c>
      <x:c r="C771" s="7" t="n">
        <x:v>211.5387871927</x:v>
      </x:c>
      <x:c r="D771" s="7" t="n">
        <x:v>211.5387871927</x:v>
      </x:c>
      <x:c r="E771" s="7" t="str">
        <x:v>SYNTHETIC: seeded teaching dataset; not observed market data</x:v>
      </x:c>
      <x:c r="F771" s="7" t="n">
        <x:v>46266</x:v>
      </x:c>
    </x:row>
    <x:row r="772" ht="22" customHeight="1">
      <x:c r="A772" s="8" t="n">
        <x:v>46126</x:v>
      </x:c>
      <x:c r="B772" s="7" t="str">
        <x:v>US_EQ</x:v>
      </x:c>
      <x:c r="C772" s="7" t="n">
        <x:v>215.3352499421</x:v>
      </x:c>
      <x:c r="D772" s="7" t="n">
        <x:v>215.3352499421</x:v>
      </x:c>
      <x:c r="E772" s="7" t="str">
        <x:v>SYNTHETIC: seeded teaching dataset; not observed market data</x:v>
      </x:c>
      <x:c r="F772" s="7" t="n">
        <x:v>46266</x:v>
      </x:c>
    </x:row>
    <x:row r="773" ht="22" customHeight="1">
      <x:c r="A773" s="8" t="n">
        <x:v>46127</x:v>
      </x:c>
      <x:c r="B773" s="7" t="str">
        <x:v>US_EQ</x:v>
      </x:c>
      <x:c r="C773" s="7" t="n">
        <x:v>216.7266201551</x:v>
      </x:c>
      <x:c r="D773" s="7" t="n">
        <x:v>216.7266201551</x:v>
      </x:c>
      <x:c r="E773" s="7" t="str">
        <x:v>SYNTHETIC: seeded teaching dataset; not observed market data</x:v>
      </x:c>
      <x:c r="F773" s="7" t="n">
        <x:v>46266</x:v>
      </x:c>
    </x:row>
    <x:row r="774" ht="22" customHeight="1">
      <x:c r="A774" s="8" t="n">
        <x:v>46128</x:v>
      </x:c>
      <x:c r="B774" s="7" t="str">
        <x:v>US_EQ</x:v>
      </x:c>
      <x:c r="C774" s="7" t="n">
        <x:v>213.8656635845</x:v>
      </x:c>
      <x:c r="D774" s="7" t="n">
        <x:v>213.8656635845</x:v>
      </x:c>
      <x:c r="E774" s="7" t="str">
        <x:v>SYNTHETIC: seeded teaching dataset; not observed market data</x:v>
      </x:c>
      <x:c r="F774" s="7" t="n">
        <x:v>46266</x:v>
      </x:c>
    </x:row>
    <x:row r="775" ht="22" customHeight="1">
      <x:c r="A775" s="8" t="n">
        <x:v>46129</x:v>
      </x:c>
      <x:c r="B775" s="7" t="str">
        <x:v>US_EQ</x:v>
      </x:c>
      <x:c r="C775" s="7" t="n">
        <x:v>217.902982615</x:v>
      </x:c>
      <x:c r="D775" s="7" t="n">
        <x:v>217.902982615</x:v>
      </x:c>
      <x:c r="E775" s="7" t="str">
        <x:v>SYNTHETIC: seeded teaching dataset; not observed market data</x:v>
      </x:c>
      <x:c r="F775" s="7" t="n">
        <x:v>46266</x:v>
      </x:c>
    </x:row>
    <x:row r="776" ht="22" customHeight="1">
      <x:c r="A776" s="8" t="n">
        <x:v>46132</x:v>
      </x:c>
      <x:c r="B776" s="7" t="str">
        <x:v>US_EQ</x:v>
      </x:c>
      <x:c r="C776" s="7" t="n">
        <x:v>224.9358984361</x:v>
      </x:c>
      <x:c r="D776" s="7" t="n">
        <x:v>224.9358984361</x:v>
      </x:c>
      <x:c r="E776" s="7" t="str">
        <x:v>SYNTHETIC: seeded teaching dataset; not observed market data</x:v>
      </x:c>
      <x:c r="F776" s="7" t="n">
        <x:v>46266</x:v>
      </x:c>
    </x:row>
    <x:row r="777" ht="22" customHeight="1">
      <x:c r="A777" s="8" t="n">
        <x:v>46133</x:v>
      </x:c>
      <x:c r="B777" s="7" t="str">
        <x:v>US_EQ</x:v>
      </x:c>
      <x:c r="C777" s="7" t="n">
        <x:v>222.7503758999</x:v>
      </x:c>
      <x:c r="D777" s="7" t="n">
        <x:v>222.7503758999</x:v>
      </x:c>
      <x:c r="E777" s="7" t="str">
        <x:v>SYNTHETIC: seeded teaching dataset; not observed market data</x:v>
      </x:c>
      <x:c r="F777" s="7" t="n">
        <x:v>46266</x:v>
      </x:c>
    </x:row>
    <x:row r="778" ht="22" customHeight="1">
      <x:c r="A778" s="8" t="n">
        <x:v>46134</x:v>
      </x:c>
      <x:c r="B778" s="7" t="str">
        <x:v>US_EQ</x:v>
      </x:c>
      <x:c r="C778" s="7" t="n">
        <x:v>224.4009239348</x:v>
      </x:c>
      <x:c r="D778" s="7" t="n">
        <x:v>224.4009239348</x:v>
      </x:c>
      <x:c r="E778" s="7" t="str">
        <x:v>SYNTHETIC: seeded teaching dataset; not observed market data</x:v>
      </x:c>
      <x:c r="F778" s="7" t="n">
        <x:v>46266</x:v>
      </x:c>
    </x:row>
    <x:row r="779" ht="22" customHeight="1">
      <x:c r="A779" s="8" t="n">
        <x:v>46135</x:v>
      </x:c>
      <x:c r="B779" s="7" t="str">
        <x:v>US_EQ</x:v>
      </x:c>
      <x:c r="C779" s="7" t="n">
        <x:v>222.6193378018</x:v>
      </x:c>
      <x:c r="D779" s="7" t="n">
        <x:v>222.6193378018</x:v>
      </x:c>
      <x:c r="E779" s="7" t="str">
        <x:v>SYNTHETIC: seeded teaching dataset; not observed market data</x:v>
      </x:c>
      <x:c r="F779" s="7" t="n">
        <x:v>46266</x:v>
      </x:c>
    </x:row>
    <x:row r="780" ht="22" customHeight="1">
      <x:c r="A780" s="8" t="n">
        <x:v>46136</x:v>
      </x:c>
      <x:c r="B780" s="7" t="str">
        <x:v>US_EQ</x:v>
      </x:c>
      <x:c r="C780" s="7" t="n">
        <x:v>223.396693977</x:v>
      </x:c>
      <x:c r="D780" s="7" t="n">
        <x:v>223.396693977</x:v>
      </x:c>
      <x:c r="E780" s="7" t="str">
        <x:v>SYNTHETIC: seeded teaching dataset; not observed market data</x:v>
      </x:c>
      <x:c r="F780" s="7" t="n">
        <x:v>46266</x:v>
      </x:c>
    </x:row>
    <x:row r="781" ht="22" customHeight="1">
      <x:c r="A781" s="8" t="n">
        <x:v>46139</x:v>
      </x:c>
      <x:c r="B781" s="7" t="str">
        <x:v>US_EQ</x:v>
      </x:c>
      <x:c r="C781" s="7" t="n">
        <x:v>220.8011111566</x:v>
      </x:c>
      <x:c r="D781" s="7" t="n">
        <x:v>220.8011111566</x:v>
      </x:c>
      <x:c r="E781" s="7" t="str">
        <x:v>SYNTHETIC: seeded teaching dataset; not observed market data</x:v>
      </x:c>
      <x:c r="F781" s="7" t="n">
        <x:v>46266</x:v>
      </x:c>
    </x:row>
    <x:row r="782" ht="22" customHeight="1">
      <x:c r="A782" s="8" t="n">
        <x:v>46140</x:v>
      </x:c>
      <x:c r="B782" s="7" t="str">
        <x:v>US_EQ</x:v>
      </x:c>
      <x:c r="C782" s="7" t="n">
        <x:v>216.4976723592</x:v>
      </x:c>
      <x:c r="D782" s="7" t="n">
        <x:v>216.4976723592</x:v>
      </x:c>
      <x:c r="E782" s="7" t="str">
        <x:v>SYNTHETIC: seeded teaching dataset; not observed market data</x:v>
      </x:c>
      <x:c r="F782" s="7" t="n">
        <x:v>46266</x:v>
      </x:c>
    </x:row>
    <x:row r="783" ht="22" customHeight="1">
      <x:c r="A783" s="8" t="n">
        <x:v>46141</x:v>
      </x:c>
      <x:c r="B783" s="7" t="str">
        <x:v>US_EQ</x:v>
      </x:c>
      <x:c r="C783" s="7" t="n">
        <x:v>212.9778581997</x:v>
      </x:c>
      <x:c r="D783" s="7" t="n">
        <x:v>212.9778581997</x:v>
      </x:c>
      <x:c r="E783" s="7" t="str">
        <x:v>SYNTHETIC: seeded teaching dataset; not observed market data</x:v>
      </x:c>
      <x:c r="F783" s="7" t="n">
        <x:v>46266</x:v>
      </x:c>
    </x:row>
    <x:row r="784" ht="22" customHeight="1">
      <x:c r="A784" s="8" t="n">
        <x:v>46142</x:v>
      </x:c>
      <x:c r="B784" s="7" t="str">
        <x:v>US_EQ</x:v>
      </x:c>
      <x:c r="C784" s="7" t="n">
        <x:v>213.1744086761</x:v>
      </x:c>
      <x:c r="D784" s="7" t="n">
        <x:v>213.1744086761</x:v>
      </x:c>
      <x:c r="E784" s="7" t="str">
        <x:v>SYNTHETIC: seeded teaching dataset; not observed market data</x:v>
      </x:c>
      <x:c r="F784" s="7" t="n">
        <x:v>46266</x:v>
      </x:c>
    </x:row>
    <x:row r="785" ht="22" customHeight="1">
      <x:c r="A785" s="8" t="n">
        <x:v>46143</x:v>
      </x:c>
      <x:c r="B785" s="7" t="str">
        <x:v>US_EQ</x:v>
      </x:c>
      <x:c r="C785" s="7" t="n">
        <x:v>209.0413959086</x:v>
      </x:c>
      <x:c r="D785" s="7" t="n">
        <x:v>209.0413959086</x:v>
      </x:c>
      <x:c r="E785" s="7" t="str">
        <x:v>SYNTHETIC: seeded teaching dataset; not observed market data</x:v>
      </x:c>
      <x:c r="F785" s="7" t="n">
        <x:v>46266</x:v>
      </x:c>
    </x:row>
    <x:row r="786" ht="22" customHeight="1">
      <x:c r="A786" s="8" t="n">
        <x:v>46146</x:v>
      </x:c>
      <x:c r="B786" s="7" t="str">
        <x:v>US_EQ</x:v>
      </x:c>
      <x:c r="C786" s="7" t="n">
        <x:v>205.0966391269</x:v>
      </x:c>
      <x:c r="D786" s="7" t="n">
        <x:v>205.0966391269</x:v>
      </x:c>
      <x:c r="E786" s="7" t="str">
        <x:v>SYNTHETIC: seeded teaching dataset; not observed market data</x:v>
      </x:c>
      <x:c r="F786" s="7" t="n">
        <x:v>46266</x:v>
      </x:c>
    </x:row>
    <x:row r="787" ht="22" customHeight="1">
      <x:c r="A787" s="8" t="n">
        <x:v>46147</x:v>
      </x:c>
      <x:c r="B787" s="7" t="str">
        <x:v>US_EQ</x:v>
      </x:c>
      <x:c r="C787" s="7" t="n">
        <x:v>204.4250772512</x:v>
      </x:c>
      <x:c r="D787" s="7" t="n">
        <x:v>204.4250772512</x:v>
      </x:c>
      <x:c r="E787" s="7" t="str">
        <x:v>SYNTHETIC: seeded teaching dataset; not observed market data</x:v>
      </x:c>
      <x:c r="F787" s="7" t="n">
        <x:v>46266</x:v>
      </x:c>
    </x:row>
    <x:row r="788" ht="22" customHeight="1">
      <x:c r="A788" s="8" t="n">
        <x:v>46148</x:v>
      </x:c>
      <x:c r="B788" s="7" t="str">
        <x:v>US_EQ</x:v>
      </x:c>
      <x:c r="C788" s="7" t="n">
        <x:v>200.8350436249</x:v>
      </x:c>
      <x:c r="D788" s="7" t="n">
        <x:v>200.8350436249</x:v>
      </x:c>
      <x:c r="E788" s="7" t="str">
        <x:v>SYNTHETIC: seeded teaching dataset; not observed market data</x:v>
      </x:c>
      <x:c r="F788" s="7" t="n">
        <x:v>46266</x:v>
      </x:c>
    </x:row>
    <x:row r="789" ht="22" customHeight="1">
      <x:c r="A789" s="8" t="n">
        <x:v>46149</x:v>
      </x:c>
      <x:c r="B789" s="7" t="str">
        <x:v>US_EQ</x:v>
      </x:c>
      <x:c r="C789" s="7" t="n">
        <x:v>205.4265497991</x:v>
      </x:c>
      <x:c r="D789" s="7" t="n">
        <x:v>205.4265497991</x:v>
      </x:c>
      <x:c r="E789" s="7" t="str">
        <x:v>SYNTHETIC: seeded teaching dataset; not observed market data</x:v>
      </x:c>
      <x:c r="F789" s="7" t="n">
        <x:v>46266</x:v>
      </x:c>
    </x:row>
    <x:row r="790" ht="22" customHeight="1">
      <x:c r="A790" s="8" t="n">
        <x:v>46150</x:v>
      </x:c>
      <x:c r="B790" s="7" t="str">
        <x:v>US_EQ</x:v>
      </x:c>
      <x:c r="C790" s="7" t="n">
        <x:v>202.4189713179</x:v>
      </x:c>
      <x:c r="D790" s="7" t="n">
        <x:v>202.4189713179</x:v>
      </x:c>
      <x:c r="E790" s="7" t="str">
        <x:v>SYNTHETIC: seeded teaching dataset; not observed market data</x:v>
      </x:c>
      <x:c r="F790" s="7" t="n">
        <x:v>46266</x:v>
      </x:c>
    </x:row>
    <x:row r="791" ht="22" customHeight="1">
      <x:c r="A791" s="8" t="n">
        <x:v>46153</x:v>
      </x:c>
      <x:c r="B791" s="7" t="str">
        <x:v>US_EQ</x:v>
      </x:c>
      <x:c r="C791" s="7" t="n">
        <x:v>198.5699434793</x:v>
      </x:c>
      <x:c r="D791" s="7" t="n">
        <x:v>198.5699434793</x:v>
      </x:c>
      <x:c r="E791" s="7" t="str">
        <x:v>SYNTHETIC: seeded teaching dataset; not observed market data</x:v>
      </x:c>
      <x:c r="F791" s="7" t="n">
        <x:v>46266</x:v>
      </x:c>
    </x:row>
    <x:row r="792" ht="22" customHeight="1">
      <x:c r="A792" s="8" t="n">
        <x:v>46154</x:v>
      </x:c>
      <x:c r="B792" s="7" t="str">
        <x:v>US_EQ</x:v>
      </x:c>
      <x:c r="C792" s="7" t="n">
        <x:v>197.9839253591</x:v>
      </x:c>
      <x:c r="D792" s="7" t="n">
        <x:v>197.9839253591</x:v>
      </x:c>
      <x:c r="E792" s="7" t="str">
        <x:v>SYNTHETIC: seeded teaching dataset; not observed market data</x:v>
      </x:c>
      <x:c r="F792" s="7" t="n">
        <x:v>46266</x:v>
      </x:c>
    </x:row>
    <x:row r="793" ht="22" customHeight="1">
      <x:c r="A793" s="8" t="n">
        <x:v>46155</x:v>
      </x:c>
      <x:c r="B793" s="7" t="str">
        <x:v>US_EQ</x:v>
      </x:c>
      <x:c r="C793" s="7" t="n">
        <x:v>198.0226333932</x:v>
      </x:c>
      <x:c r="D793" s="7" t="n">
        <x:v>198.0226333932</x:v>
      </x:c>
      <x:c r="E793" s="7" t="str">
        <x:v>SYNTHETIC: seeded teaching dataset; not observed market data</x:v>
      </x:c>
      <x:c r="F793" s="7" t="n">
        <x:v>46266</x:v>
      </x:c>
    </x:row>
    <x:row r="794" ht="22" customHeight="1">
      <x:c r="A794" s="8" t="n">
        <x:v>46156</x:v>
      </x:c>
      <x:c r="B794" s="7" t="str">
        <x:v>US_EQ</x:v>
      </x:c>
      <x:c r="C794" s="7" t="n">
        <x:v>198.0711051256</x:v>
      </x:c>
      <x:c r="D794" s="7" t="n">
        <x:v>198.0711051256</x:v>
      </x:c>
      <x:c r="E794" s="7" t="str">
        <x:v>SYNTHETIC: seeded teaching dataset; not observed market data</x:v>
      </x:c>
      <x:c r="F794" s="7" t="n">
        <x:v>46266</x:v>
      </x:c>
    </x:row>
    <x:row r="795" ht="22" customHeight="1">
      <x:c r="A795" s="8" t="n">
        <x:v>46157</x:v>
      </x:c>
      <x:c r="B795" s="7" t="str">
        <x:v>US_EQ</x:v>
      </x:c>
      <x:c r="C795" s="7" t="n">
        <x:v>200.9107521487</x:v>
      </x:c>
      <x:c r="D795" s="7" t="n">
        <x:v>200.9107521487</x:v>
      </x:c>
      <x:c r="E795" s="7" t="str">
        <x:v>SYNTHETIC: seeded teaching dataset; not observed market data</x:v>
      </x:c>
      <x:c r="F795" s="7" t="n">
        <x:v>46266</x:v>
      </x:c>
    </x:row>
    <x:row r="796" ht="22" customHeight="1">
      <x:c r="A796" s="8" t="n">
        <x:v>46160</x:v>
      </x:c>
      <x:c r="B796" s="7" t="str">
        <x:v>US_EQ</x:v>
      </x:c>
      <x:c r="C796" s="7" t="n">
        <x:v>208.2881898096</x:v>
      </x:c>
      <x:c r="D796" s="7" t="n">
        <x:v>208.2881898096</x:v>
      </x:c>
      <x:c r="E796" s="7" t="str">
        <x:v>SYNTHETIC: seeded teaching dataset; not observed market data</x:v>
      </x:c>
      <x:c r="F796" s="7" t="n">
        <x:v>46266</x:v>
      </x:c>
    </x:row>
    <x:row r="797" ht="22" customHeight="1">
      <x:c r="A797" s="8" t="n">
        <x:v>46161</x:v>
      </x:c>
      <x:c r="B797" s="7" t="str">
        <x:v>US_EQ</x:v>
      </x:c>
      <x:c r="C797" s="7" t="n">
        <x:v>205.1654334893</x:v>
      </x:c>
      <x:c r="D797" s="7" t="n">
        <x:v>205.1654334893</x:v>
      </x:c>
      <x:c r="E797" s="7" t="str">
        <x:v>SYNTHETIC: seeded teaching dataset; not observed market data</x:v>
      </x:c>
      <x:c r="F797" s="7" t="n">
        <x:v>46266</x:v>
      </x:c>
    </x:row>
    <x:row r="798" ht="22" customHeight="1">
      <x:c r="A798" s="8" t="n">
        <x:v>46162</x:v>
      </x:c>
      <x:c r="B798" s="7" t="str">
        <x:v>US_EQ</x:v>
      </x:c>
      <x:c r="C798" s="7" t="n">
        <x:v>210.7819182623</x:v>
      </x:c>
      <x:c r="D798" s="7" t="n">
        <x:v>210.7819182623</x:v>
      </x:c>
      <x:c r="E798" s="7" t="str">
        <x:v>SYNTHETIC: seeded teaching dataset; not observed market data</x:v>
      </x:c>
      <x:c r="F798" s="7" t="n">
        <x:v>46266</x:v>
      </x:c>
    </x:row>
    <x:row r="799" ht="22" customHeight="1">
      <x:c r="A799" s="8" t="n">
        <x:v>46163</x:v>
      </x:c>
      <x:c r="B799" s="7" t="str">
        <x:v>US_EQ</x:v>
      </x:c>
      <x:c r="C799" s="7" t="n">
        <x:v>220.0679017646</x:v>
      </x:c>
      <x:c r="D799" s="7" t="n">
        <x:v>220.0679017646</x:v>
      </x:c>
      <x:c r="E799" s="7" t="str">
        <x:v>SYNTHETIC: seeded teaching dataset; not observed market data</x:v>
      </x:c>
      <x:c r="F799" s="7" t="n">
        <x:v>46266</x:v>
      </x:c>
    </x:row>
    <x:row r="800" ht="22" customHeight="1">
      <x:c r="A800" s="8" t="n">
        <x:v>46164</x:v>
      </x:c>
      <x:c r="B800" s="7" t="str">
        <x:v>US_EQ</x:v>
      </x:c>
      <x:c r="C800" s="7" t="n">
        <x:v>221.0869010183</x:v>
      </x:c>
      <x:c r="D800" s="7" t="n">
        <x:v>221.0869010183</x:v>
      </x:c>
      <x:c r="E800" s="7" t="str">
        <x:v>SYNTHETIC: seeded teaching dataset; not observed market data</x:v>
      </x:c>
      <x:c r="F800" s="7" t="n">
        <x:v>46266</x:v>
      </x:c>
    </x:row>
    <x:row r="801" ht="22" customHeight="1">
      <x:c r="A801" s="8" t="n">
        <x:v>46167</x:v>
      </x:c>
      <x:c r="B801" s="7" t="str">
        <x:v>US_EQ</x:v>
      </x:c>
      <x:c r="C801" s="7" t="n">
        <x:v>214.7160337344</x:v>
      </x:c>
      <x:c r="D801" s="7" t="n">
        <x:v>214.7160337344</x:v>
      </x:c>
      <x:c r="E801" s="7" t="str">
        <x:v>SYNTHETIC: seeded teaching dataset; not observed market data</x:v>
      </x:c>
      <x:c r="F801" s="7" t="n">
        <x:v>46266</x:v>
      </x:c>
    </x:row>
    <x:row r="802" ht="22" customHeight="1">
      <x:c r="A802" s="8" t="n">
        <x:v>46168</x:v>
      </x:c>
      <x:c r="B802" s="7" t="str">
        <x:v>US_EQ</x:v>
      </x:c>
      <x:c r="C802" s="7" t="n">
        <x:v>217.3265672132</x:v>
      </x:c>
      <x:c r="D802" s="7" t="n">
        <x:v>217.3265672132</x:v>
      </x:c>
      <x:c r="E802" s="7" t="str">
        <x:v>SYNTHETIC: seeded teaching dataset; not observed market data</x:v>
      </x:c>
      <x:c r="F802" s="7" t="n">
        <x:v>46266</x:v>
      </x:c>
    </x:row>
    <x:row r="803" ht="22" customHeight="1">
      <x:c r="A803" s="8" t="n">
        <x:v>46169</x:v>
      </x:c>
      <x:c r="B803" s="7" t="str">
        <x:v>US_EQ</x:v>
      </x:c>
      <x:c r="C803" s="7" t="n">
        <x:v>219.5735453045</x:v>
      </x:c>
      <x:c r="D803" s="7" t="n">
        <x:v>219.5735453045</x:v>
      </x:c>
      <x:c r="E803" s="7" t="str">
        <x:v>SYNTHETIC: seeded teaching dataset; not observed market data</x:v>
      </x:c>
      <x:c r="F803" s="7" t="n">
        <x:v>46266</x:v>
      </x:c>
    </x:row>
    <x:row r="804" ht="22" customHeight="1">
      <x:c r="A804" s="8" t="n">
        <x:v>46170</x:v>
      </x:c>
      <x:c r="B804" s="7" t="str">
        <x:v>US_EQ</x:v>
      </x:c>
      <x:c r="C804" s="7" t="n">
        <x:v>223.3896526523</x:v>
      </x:c>
      <x:c r="D804" s="7" t="n">
        <x:v>223.3896526523</x:v>
      </x:c>
      <x:c r="E804" s="7" t="str">
        <x:v>SYNTHETIC: seeded teaching dataset; not observed market data</x:v>
      </x:c>
      <x:c r="F804" s="7" t="n">
        <x:v>46266</x:v>
      </x:c>
    </x:row>
    <x:row r="805" ht="22" customHeight="1">
      <x:c r="A805" s="8" t="n">
        <x:v>46171</x:v>
      </x:c>
      <x:c r="B805" s="7" t="str">
        <x:v>US_EQ</x:v>
      </x:c>
      <x:c r="C805" s="7" t="n">
        <x:v>224.4341915719</x:v>
      </x:c>
      <x:c r="D805" s="7" t="n">
        <x:v>224.4341915719</x:v>
      </x:c>
      <x:c r="E805" s="7" t="str">
        <x:v>SYNTHETIC: seeded teaching dataset; not observed market data</x:v>
      </x:c>
      <x:c r="F805" s="7" t="n">
        <x:v>46266</x:v>
      </x:c>
    </x:row>
    <x:row r="806" ht="22" customHeight="1">
      <x:c r="A806" s="8" t="n">
        <x:v>46174</x:v>
      </x:c>
      <x:c r="B806" s="7" t="str">
        <x:v>US_EQ</x:v>
      </x:c>
      <x:c r="C806" s="7" t="n">
        <x:v>220.7856304999</x:v>
      </x:c>
      <x:c r="D806" s="7" t="n">
        <x:v>220.7856304999</x:v>
      </x:c>
      <x:c r="E806" s="7" t="str">
        <x:v>SYNTHETIC: seeded teaching dataset; not observed market data</x:v>
      </x:c>
      <x:c r="F806" s="7" t="n">
        <x:v>46266</x:v>
      </x:c>
    </x:row>
    <x:row r="807" ht="22" customHeight="1">
      <x:c r="A807" s="8" t="n">
        <x:v>46175</x:v>
      </x:c>
      <x:c r="B807" s="7" t="str">
        <x:v>US_EQ</x:v>
      </x:c>
      <x:c r="C807" s="7" t="n">
        <x:v>222.101753793</x:v>
      </x:c>
      <x:c r="D807" s="7" t="n">
        <x:v>222.101753793</x:v>
      </x:c>
      <x:c r="E807" s="7" t="str">
        <x:v>SYNTHETIC: seeded teaching dataset; not observed market data</x:v>
      </x:c>
      <x:c r="F807" s="7" t="n">
        <x:v>46266</x:v>
      </x:c>
    </x:row>
    <x:row r="808" ht="22" customHeight="1">
      <x:c r="A808" s="8" t="n">
        <x:v>46176</x:v>
      </x:c>
      <x:c r="B808" s="7" t="str">
        <x:v>US_EQ</x:v>
      </x:c>
      <x:c r="C808" s="7" t="n">
        <x:v>226.4197074171</x:v>
      </x:c>
      <x:c r="D808" s="7" t="n">
        <x:v>226.4197074171</x:v>
      </x:c>
      <x:c r="E808" s="7" t="str">
        <x:v>SYNTHETIC: seeded teaching dataset; not observed market data</x:v>
      </x:c>
      <x:c r="F808" s="7" t="n">
        <x:v>46266</x:v>
      </x:c>
    </x:row>
    <x:row r="809" ht="22" customHeight="1">
      <x:c r="A809" s="8" t="n">
        <x:v>46177</x:v>
      </x:c>
      <x:c r="B809" s="7" t="str">
        <x:v>US_EQ</x:v>
      </x:c>
      <x:c r="C809" s="7" t="n">
        <x:v>232.5806744494</x:v>
      </x:c>
      <x:c r="D809" s="7" t="n">
        <x:v>232.5806744494</x:v>
      </x:c>
      <x:c r="E809" s="7" t="str">
        <x:v>SYNTHETIC: seeded teaching dataset; not observed market data</x:v>
      </x:c>
      <x:c r="F809" s="7" t="n">
        <x:v>46266</x:v>
      </x:c>
    </x:row>
    <x:row r="810" ht="22" customHeight="1">
      <x:c r="A810" s="8" t="n">
        <x:v>46178</x:v>
      </x:c>
      <x:c r="B810" s="7" t="str">
        <x:v>US_EQ</x:v>
      </x:c>
      <x:c r="C810" s="7" t="n">
        <x:v>234.4733832834</x:v>
      </x:c>
      <x:c r="D810" s="7" t="n">
        <x:v>234.4733832834</x:v>
      </x:c>
      <x:c r="E810" s="7" t="str">
        <x:v>SYNTHETIC: seeded teaching dataset; not observed market data</x:v>
      </x:c>
      <x:c r="F810" s="7" t="n">
        <x:v>46266</x:v>
      </x:c>
    </x:row>
    <x:row r="811" ht="22" customHeight="1">
      <x:c r="A811" s="8" t="n">
        <x:v>46181</x:v>
      </x:c>
      <x:c r="B811" s="7" t="str">
        <x:v>US_EQ</x:v>
      </x:c>
      <x:c r="C811" s="7" t="n">
        <x:v>232.5001232439</x:v>
      </x:c>
      <x:c r="D811" s="7" t="n">
        <x:v>232.5001232439</x:v>
      </x:c>
      <x:c r="E811" s="7" t="str">
        <x:v>SYNTHETIC: seeded teaching dataset; not observed market data</x:v>
      </x:c>
      <x:c r="F811" s="7" t="n">
        <x:v>46266</x:v>
      </x:c>
    </x:row>
    <x:row r="812" ht="22" customHeight="1">
      <x:c r="A812" s="8" t="n">
        <x:v>46182</x:v>
      </x:c>
      <x:c r="B812" s="7" t="str">
        <x:v>US_EQ</x:v>
      </x:c>
      <x:c r="C812" s="7" t="n">
        <x:v>234.9131478006</x:v>
      </x:c>
      <x:c r="D812" s="7" t="n">
        <x:v>234.9131478006</x:v>
      </x:c>
      <x:c r="E812" s="7" t="str">
        <x:v>SYNTHETIC: seeded teaching dataset; not observed market data</x:v>
      </x:c>
      <x:c r="F812" s="7" t="n">
        <x:v>46266</x:v>
      </x:c>
    </x:row>
    <x:row r="813" ht="22" customHeight="1">
      <x:c r="A813" s="8" t="n">
        <x:v>46183</x:v>
      </x:c>
      <x:c r="B813" s="7" t="str">
        <x:v>US_EQ</x:v>
      </x:c>
      <x:c r="C813" s="7" t="n">
        <x:v>235.4768475796</x:v>
      </x:c>
      <x:c r="D813" s="7" t="n">
        <x:v>235.4768475796</x:v>
      </x:c>
      <x:c r="E813" s="7" t="str">
        <x:v>SYNTHETIC: seeded teaching dataset; not observed market data</x:v>
      </x:c>
      <x:c r="F813" s="7" t="n">
        <x:v>46266</x:v>
      </x:c>
    </x:row>
    <x:row r="814" ht="22" customHeight="1">
      <x:c r="A814" s="8" t="n">
        <x:v>46184</x:v>
      </x:c>
      <x:c r="B814" s="7" t="str">
        <x:v>US_EQ</x:v>
      </x:c>
      <x:c r="C814" s="7" t="n">
        <x:v>231.5470960383</x:v>
      </x:c>
      <x:c r="D814" s="7" t="n">
        <x:v>231.5470960383</x:v>
      </x:c>
      <x:c r="E814" s="7" t="str">
        <x:v>SYNTHETIC: seeded teaching dataset; not observed market data</x:v>
      </x:c>
      <x:c r="F814" s="7" t="n">
        <x:v>46266</x:v>
      </x:c>
    </x:row>
    <x:row r="815" ht="22" customHeight="1">
      <x:c r="A815" s="8" t="n">
        <x:v>46185</x:v>
      </x:c>
      <x:c r="B815" s="7" t="str">
        <x:v>US_EQ</x:v>
      </x:c>
      <x:c r="C815" s="7" t="n">
        <x:v>230.6521888533</x:v>
      </x:c>
      <x:c r="D815" s="7" t="n">
        <x:v>230.6521888533</x:v>
      </x:c>
      <x:c r="E815" s="7" t="str">
        <x:v>SYNTHETIC: seeded teaching dataset; not observed market data</x:v>
      </x:c>
      <x:c r="F815" s="7" t="n">
        <x:v>46266</x:v>
      </x:c>
    </x:row>
    <x:row r="816" ht="22" customHeight="1">
      <x:c r="A816" s="8" t="n">
        <x:v>46188</x:v>
      </x:c>
      <x:c r="B816" s="7" t="str">
        <x:v>US_EQ</x:v>
      </x:c>
      <x:c r="C816" s="7" t="n">
        <x:v>224.905252785</x:v>
      </x:c>
      <x:c r="D816" s="7" t="n">
        <x:v>224.905252785</x:v>
      </x:c>
      <x:c r="E816" s="7" t="str">
        <x:v>SYNTHETIC: seeded teaching dataset; not observed market data</x:v>
      </x:c>
      <x:c r="F816" s="7" t="n">
        <x:v>46266</x:v>
      </x:c>
    </x:row>
    <x:row r="817" ht="22" customHeight="1">
      <x:c r="A817" s="8" t="n">
        <x:v>46189</x:v>
      </x:c>
      <x:c r="B817" s="7" t="str">
        <x:v>US_EQ</x:v>
      </x:c>
      <x:c r="C817" s="7" t="n">
        <x:v>227.7775788947</x:v>
      </x:c>
      <x:c r="D817" s="7" t="n">
        <x:v>227.7775788947</x:v>
      </x:c>
      <x:c r="E817" s="7" t="str">
        <x:v>SYNTHETIC: seeded teaching dataset; not observed market data</x:v>
      </x:c>
      <x:c r="F817" s="7" t="n">
        <x:v>46266</x:v>
      </x:c>
    </x:row>
    <x:row r="818" ht="22" customHeight="1">
      <x:c r="A818" s="8" t="n">
        <x:v>46190</x:v>
      </x:c>
      <x:c r="B818" s="7" t="str">
        <x:v>US_EQ</x:v>
      </x:c>
      <x:c r="C818" s="7" t="n">
        <x:v>222.9646107458</x:v>
      </x:c>
      <x:c r="D818" s="7" t="n">
        <x:v>222.9646107458</x:v>
      </x:c>
      <x:c r="E818" s="7" t="str">
        <x:v>SYNTHETIC: seeded teaching dataset; not observed market data</x:v>
      </x:c>
      <x:c r="F818" s="7" t="n">
        <x:v>46266</x:v>
      </x:c>
    </x:row>
    <x:row r="819" ht="22" customHeight="1">
      <x:c r="A819" s="8" t="n">
        <x:v>46191</x:v>
      </x:c>
      <x:c r="B819" s="7" t="str">
        <x:v>US_EQ</x:v>
      </x:c>
      <x:c r="C819" s="7" t="n">
        <x:v>222.7085714426</x:v>
      </x:c>
      <x:c r="D819" s="7" t="n">
        <x:v>222.7085714426</x:v>
      </x:c>
      <x:c r="E819" s="7" t="str">
        <x:v>SYNTHETIC: seeded teaching dataset; not observed market data</x:v>
      </x:c>
      <x:c r="F819" s="7" t="n">
        <x:v>46266</x:v>
      </x:c>
    </x:row>
    <x:row r="820" ht="22" customHeight="1">
      <x:c r="A820" s="8" t="n">
        <x:v>46192</x:v>
      </x:c>
      <x:c r="B820" s="7" t="str">
        <x:v>US_EQ</x:v>
      </x:c>
      <x:c r="C820" s="7" t="n">
        <x:v>222.8848713322</x:v>
      </x:c>
      <x:c r="D820" s="7" t="n">
        <x:v>222.8848713322</x:v>
      </x:c>
      <x:c r="E820" s="7" t="str">
        <x:v>SYNTHETIC: seeded teaching dataset; not observed market data</x:v>
      </x:c>
      <x:c r="F820" s="7" t="n">
        <x:v>46266</x:v>
      </x:c>
    </x:row>
    <x:row r="821" ht="22" customHeight="1">
      <x:c r="A821" s="8" t="n">
        <x:v>46195</x:v>
      </x:c>
      <x:c r="B821" s="7" t="str">
        <x:v>US_EQ</x:v>
      </x:c>
      <x:c r="C821" s="7" t="n">
        <x:v>218.9912483935</x:v>
      </x:c>
      <x:c r="D821" s="7" t="n">
        <x:v>218.9912483935</x:v>
      </x:c>
      <x:c r="E821" s="7" t="str">
        <x:v>SYNTHETIC: seeded teaching dataset; not observed market data</x:v>
      </x:c>
      <x:c r="F821" s="7" t="n">
        <x:v>46266</x:v>
      </x:c>
    </x:row>
    <x:row r="822" ht="22" customHeight="1">
      <x:c r="A822" s="8" t="n">
        <x:v>46196</x:v>
      </x:c>
      <x:c r="B822" s="7" t="str">
        <x:v>US_EQ</x:v>
      </x:c>
      <x:c r="C822" s="7" t="n">
        <x:v>220.0708299771</x:v>
      </x:c>
      <x:c r="D822" s="7" t="n">
        <x:v>220.0708299771</x:v>
      </x:c>
      <x:c r="E822" s="7" t="str">
        <x:v>SYNTHETIC: seeded teaching dataset; not observed market data</x:v>
      </x:c>
      <x:c r="F822" s="7" t="n">
        <x:v>46266</x:v>
      </x:c>
    </x:row>
    <x:row r="823" ht="22" customHeight="1">
      <x:c r="A823" s="8" t="n">
        <x:v>46197</x:v>
      </x:c>
      <x:c r="B823" s="7" t="str">
        <x:v>US_EQ</x:v>
      </x:c>
      <x:c r="C823" s="7" t="n">
        <x:v>215.0888437687</x:v>
      </x:c>
      <x:c r="D823" s="7" t="n">
        <x:v>215.0888437687</x:v>
      </x:c>
      <x:c r="E823" s="7" t="str">
        <x:v>SYNTHETIC: seeded teaching dataset; not observed market data</x:v>
      </x:c>
      <x:c r="F823" s="7" t="n">
        <x:v>46266</x:v>
      </x:c>
    </x:row>
    <x:row r="824" ht="22" customHeight="1">
      <x:c r="A824" s="8" t="n">
        <x:v>46198</x:v>
      </x:c>
      <x:c r="B824" s="7" t="str">
        <x:v>US_EQ</x:v>
      </x:c>
      <x:c r="C824" s="7" t="n">
        <x:v>215.3827262707</x:v>
      </x:c>
      <x:c r="D824" s="7" t="n">
        <x:v>215.3827262707</x:v>
      </x:c>
      <x:c r="E824" s="7" t="str">
        <x:v>SYNTHETIC: seeded teaching dataset; not observed market data</x:v>
      </x:c>
      <x:c r="F824" s="7" t="n">
        <x:v>46266</x:v>
      </x:c>
    </x:row>
    <x:row r="825" ht="22" customHeight="1">
      <x:c r="A825" s="8" t="n">
        <x:v>46199</x:v>
      </x:c>
      <x:c r="B825" s="7" t="str">
        <x:v>US_EQ</x:v>
      </x:c>
      <x:c r="C825" s="7" t="n">
        <x:v>221.2348614441</x:v>
      </x:c>
      <x:c r="D825" s="7" t="n">
        <x:v>221.2348614441</x:v>
      </x:c>
      <x:c r="E825" s="7" t="str">
        <x:v>SYNTHETIC: seeded teaching dataset; not observed market data</x:v>
      </x:c>
      <x:c r="F825" s="7" t="n">
        <x:v>46266</x:v>
      </x:c>
    </x:row>
    <x:row r="826" ht="22" customHeight="1">
      <x:c r="A826" s="8" t="n">
        <x:v>46202</x:v>
      </x:c>
      <x:c r="B826" s="7" t="str">
        <x:v>US_EQ</x:v>
      </x:c>
      <x:c r="C826" s="7" t="n">
        <x:v>217.7014353906</x:v>
      </x:c>
      <x:c r="D826" s="7" t="n">
        <x:v>217.7014353906</x:v>
      </x:c>
      <x:c r="E826" s="7" t="str">
        <x:v>SYNTHETIC: seeded teaching dataset; not observed market data</x:v>
      </x:c>
      <x:c r="F826" s="7" t="n">
        <x:v>46266</x:v>
      </x:c>
    </x:row>
    <x:row r="827" ht="22" customHeight="1">
      <x:c r="A827" s="8" t="n">
        <x:v>46203</x:v>
      </x:c>
      <x:c r="B827" s="7" t="str">
        <x:v>US_EQ</x:v>
      </x:c>
      <x:c r="C827" s="7" t="n">
        <x:v>223.2002871092</x:v>
      </x:c>
      <x:c r="D827" s="7" t="n">
        <x:v>223.2002871092</x:v>
      </x:c>
      <x:c r="E827" s="7" t="str">
        <x:v>SYNTHETIC: seeded teaching dataset; not observed market data</x:v>
      </x:c>
      <x:c r="F827" s="7" t="n">
        <x:v>46266</x:v>
      </x:c>
    </x:row>
    <x:row r="828" ht="22" customHeight="1">
      <x:c r="A828" s="8" t="n">
        <x:v>46204</x:v>
      </x:c>
      <x:c r="B828" s="7" t="str">
        <x:v>US_EQ</x:v>
      </x:c>
      <x:c r="C828" s="7" t="n">
        <x:v>220.1018316866</x:v>
      </x:c>
      <x:c r="D828" s="7" t="n">
        <x:v>220.1018316866</x:v>
      </x:c>
      <x:c r="E828" s="7" t="str">
        <x:v>SYNTHETIC: seeded teaching dataset; not observed market data</x:v>
      </x:c>
      <x:c r="F828" s="7" t="n">
        <x:v>46266</x:v>
      </x:c>
    </x:row>
    <x:row r="829" ht="22" customHeight="1">
      <x:c r="A829" s="8" t="n">
        <x:v>46205</x:v>
      </x:c>
      <x:c r="B829" s="7" t="str">
        <x:v>US_EQ</x:v>
      </x:c>
      <x:c r="C829" s="7" t="n">
        <x:v>219.9913185831</x:v>
      </x:c>
      <x:c r="D829" s="7" t="n">
        <x:v>219.9913185831</x:v>
      </x:c>
      <x:c r="E829" s="7" t="str">
        <x:v>SYNTHETIC: seeded teaching dataset; not observed market data</x:v>
      </x:c>
      <x:c r="F829" s="7" t="n">
        <x:v>46266</x:v>
      </x:c>
    </x:row>
    <x:row r="830" ht="22" customHeight="1">
      <x:c r="A830" s="8" t="n">
        <x:v>46206</x:v>
      </x:c>
      <x:c r="B830" s="7" t="str">
        <x:v>US_EQ</x:v>
      </x:c>
      <x:c r="C830" s="7" t="n">
        <x:v>222.8361066226</x:v>
      </x:c>
      <x:c r="D830" s="7" t="n">
        <x:v>222.8361066226</x:v>
      </x:c>
      <x:c r="E830" s="7" t="str">
        <x:v>SYNTHETIC: seeded teaching dataset; not observed market data</x:v>
      </x:c>
      <x:c r="F830" s="7" t="n">
        <x:v>46266</x:v>
      </x:c>
    </x:row>
    <x:row r="831" ht="22" customHeight="1">
      <x:c r="A831" s="8" t="n">
        <x:v>46209</x:v>
      </x:c>
      <x:c r="B831" s="7" t="str">
        <x:v>US_EQ</x:v>
      </x:c>
      <x:c r="C831" s="7" t="n">
        <x:v>224.4943348603</x:v>
      </x:c>
      <x:c r="D831" s="7" t="n">
        <x:v>224.4943348603</x:v>
      </x:c>
      <x:c r="E831" s="7" t="str">
        <x:v>SYNTHETIC: seeded teaching dataset; not observed market data</x:v>
      </x:c>
      <x:c r="F831" s="7" t="n">
        <x:v>46266</x:v>
      </x:c>
    </x:row>
    <x:row r="832" ht="22" customHeight="1">
      <x:c r="A832" s="8" t="n">
        <x:v>46210</x:v>
      </x:c>
      <x:c r="B832" s="7" t="str">
        <x:v>US_EQ</x:v>
      </x:c>
      <x:c r="C832" s="7" t="n">
        <x:v>226.9487303909</x:v>
      </x:c>
      <x:c r="D832" s="7" t="n">
        <x:v>226.9487303909</x:v>
      </x:c>
      <x:c r="E832" s="7" t="str">
        <x:v>SYNTHETIC: seeded teaching dataset; not observed market data</x:v>
      </x:c>
      <x:c r="F832" s="7" t="n">
        <x:v>46266</x:v>
      </x:c>
    </x:row>
    <x:row r="833" ht="22" customHeight="1">
      <x:c r="A833" s="8" t="n">
        <x:v>46211</x:v>
      </x:c>
      <x:c r="B833" s="7" t="str">
        <x:v>US_EQ</x:v>
      </x:c>
      <x:c r="C833" s="7" t="n">
        <x:v>226.4013744285</x:v>
      </x:c>
      <x:c r="D833" s="7" t="n">
        <x:v>226.4013744285</x:v>
      </x:c>
      <x:c r="E833" s="7" t="str">
        <x:v>SYNTHETIC: seeded teaching dataset; not observed market data</x:v>
      </x:c>
      <x:c r="F833" s="7" t="n">
        <x:v>46266</x:v>
      </x:c>
    </x:row>
    <x:row r="834" ht="22" customHeight="1">
      <x:c r="A834" s="8" t="n">
        <x:v>46212</x:v>
      </x:c>
      <x:c r="B834" s="7" t="str">
        <x:v>US_EQ</x:v>
      </x:c>
      <x:c r="C834" s="7" t="n">
        <x:v>225.1342082992</x:v>
      </x:c>
      <x:c r="D834" s="7" t="n">
        <x:v>225.1342082992</x:v>
      </x:c>
      <x:c r="E834" s="7" t="str">
        <x:v>SYNTHETIC: seeded teaching dataset; not observed market data</x:v>
      </x:c>
      <x:c r="F834" s="7" t="n">
        <x:v>46266</x:v>
      </x:c>
    </x:row>
    <x:row r="835" ht="22" customHeight="1">
      <x:c r="A835" s="8" t="n">
        <x:v>46213</x:v>
      </x:c>
      <x:c r="B835" s="7" t="str">
        <x:v>US_EQ</x:v>
      </x:c>
      <x:c r="C835" s="7" t="n">
        <x:v>224.5936366589</x:v>
      </x:c>
      <x:c r="D835" s="7" t="n">
        <x:v>224.5936366589</x:v>
      </x:c>
      <x:c r="E835" s="7" t="str">
        <x:v>SYNTHETIC: seeded teaching dataset; not observed market data</x:v>
      </x:c>
      <x:c r="F835" s="7" t="n">
        <x:v>46266</x:v>
      </x:c>
    </x:row>
    <x:row r="836" ht="22" customHeight="1">
      <x:c r="A836" s="8" t="n">
        <x:v>46216</x:v>
      </x:c>
      <x:c r="B836" s="7" t="str">
        <x:v>US_EQ</x:v>
      </x:c>
      <x:c r="C836" s="7" t="n">
        <x:v>227.3341507968</x:v>
      </x:c>
      <x:c r="D836" s="7" t="n">
        <x:v>227.3341507968</x:v>
      </x:c>
      <x:c r="E836" s="7" t="str">
        <x:v>SYNTHETIC: seeded teaching dataset; not observed market data</x:v>
      </x:c>
      <x:c r="F836" s="7" t="n">
        <x:v>46266</x:v>
      </x:c>
    </x:row>
    <x:row r="837" ht="22" customHeight="1">
      <x:c r="A837" s="8" t="n">
        <x:v>46217</x:v>
      </x:c>
      <x:c r="B837" s="7" t="str">
        <x:v>US_EQ</x:v>
      </x:c>
      <x:c r="C837" s="7" t="n">
        <x:v>230.8311451712</x:v>
      </x:c>
      <x:c r="D837" s="7" t="n">
        <x:v>230.8311451712</x:v>
      </x:c>
      <x:c r="E837" s="7" t="str">
        <x:v>SYNTHETIC: seeded teaching dataset; not observed market data</x:v>
      </x:c>
      <x:c r="F837" s="7" t="n">
        <x:v>46266</x:v>
      </x:c>
    </x:row>
    <x:row r="838" ht="22" customHeight="1">
      <x:c r="A838" s="8" t="n">
        <x:v>46218</x:v>
      </x:c>
      <x:c r="B838" s="7" t="str">
        <x:v>US_EQ</x:v>
      </x:c>
      <x:c r="C838" s="7" t="n">
        <x:v>227.2780411984</x:v>
      </x:c>
      <x:c r="D838" s="7" t="n">
        <x:v>227.2780411984</x:v>
      </x:c>
      <x:c r="E838" s="7" t="str">
        <x:v>SYNTHETIC: seeded teaching dataset; not observed market data</x:v>
      </x:c>
      <x:c r="F838" s="7" t="n">
        <x:v>46266</x:v>
      </x:c>
    </x:row>
    <x:row r="839" ht="22" customHeight="1">
      <x:c r="A839" s="8" t="n">
        <x:v>46219</x:v>
      </x:c>
      <x:c r="B839" s="7" t="str">
        <x:v>US_EQ</x:v>
      </x:c>
      <x:c r="C839" s="7" t="n">
        <x:v>228.6744462547</x:v>
      </x:c>
      <x:c r="D839" s="7" t="n">
        <x:v>228.6744462547</x:v>
      </x:c>
      <x:c r="E839" s="7" t="str">
        <x:v>SYNTHETIC: seeded teaching dataset; not observed market data</x:v>
      </x:c>
      <x:c r="F839" s="7" t="n">
        <x:v>46266</x:v>
      </x:c>
    </x:row>
    <x:row r="840" ht="22" customHeight="1">
      <x:c r="A840" s="8" t="n">
        <x:v>46220</x:v>
      </x:c>
      <x:c r="B840" s="7" t="str">
        <x:v>US_EQ</x:v>
      </x:c>
      <x:c r="C840" s="7" t="n">
        <x:v>226.4216936188</x:v>
      </x:c>
      <x:c r="D840" s="7" t="n">
        <x:v>226.4216936188</x:v>
      </x:c>
      <x:c r="E840" s="7" t="str">
        <x:v>SYNTHETIC: seeded teaching dataset; not observed market data</x:v>
      </x:c>
      <x:c r="F840" s="7" t="n">
        <x:v>46266</x:v>
      </x:c>
    </x:row>
    <x:row r="841" ht="22" customHeight="1">
      <x:c r="A841" s="8" t="n">
        <x:v>46223</x:v>
      </x:c>
      <x:c r="B841" s="7" t="str">
        <x:v>US_EQ</x:v>
      </x:c>
      <x:c r="C841" s="7" t="n">
        <x:v>226.0923853321</x:v>
      </x:c>
      <x:c r="D841" s="7" t="n">
        <x:v>226.0923853321</x:v>
      </x:c>
      <x:c r="E841" s="7" t="str">
        <x:v>SYNTHETIC: seeded teaching dataset; not observed market data</x:v>
      </x:c>
      <x:c r="F841" s="7" t="n">
        <x:v>46266</x:v>
      </x:c>
    </x:row>
    <x:row r="842" ht="22" customHeight="1">
      <x:c r="A842" s="8" t="n">
        <x:v>46224</x:v>
      </x:c>
      <x:c r="B842" s="7" t="str">
        <x:v>US_EQ</x:v>
      </x:c>
      <x:c r="C842" s="7" t="n">
        <x:v>227.0461408733</x:v>
      </x:c>
      <x:c r="D842" s="7" t="n">
        <x:v>227.0461408733</x:v>
      </x:c>
      <x:c r="E842" s="7" t="str">
        <x:v>SYNTHETIC: seeded teaching dataset; not observed market data</x:v>
      </x:c>
      <x:c r="F842" s="7" t="n">
        <x:v>46266</x:v>
      </x:c>
    </x:row>
    <x:row r="843" ht="22" customHeight="1">
      <x:c r="A843" s="8" t="n">
        <x:v>46225</x:v>
      </x:c>
      <x:c r="B843" s="7" t="str">
        <x:v>US_EQ</x:v>
      </x:c>
      <x:c r="C843" s="7" t="n">
        <x:v>226.2420679806</x:v>
      </x:c>
      <x:c r="D843" s="7" t="n">
        <x:v>226.2420679806</x:v>
      </x:c>
      <x:c r="E843" s="7" t="str">
        <x:v>SYNTHETIC: seeded teaching dataset; not observed market data</x:v>
      </x:c>
      <x:c r="F843" s="7" t="n">
        <x:v>46266</x:v>
      </x:c>
    </x:row>
    <x:row r="844" ht="22" customHeight="1">
      <x:c r="A844" s="8" t="n">
        <x:v>46226</x:v>
      </x:c>
      <x:c r="B844" s="7" t="str">
        <x:v>US_EQ</x:v>
      </x:c>
      <x:c r="C844" s="7" t="n">
        <x:v>229.9230756177</x:v>
      </x:c>
      <x:c r="D844" s="7" t="n">
        <x:v>229.9230756177</x:v>
      </x:c>
      <x:c r="E844" s="7" t="str">
        <x:v>SYNTHETIC: seeded teaching dataset; not observed market data</x:v>
      </x:c>
      <x:c r="F844" s="7" t="n">
        <x:v>46266</x:v>
      </x:c>
    </x:row>
    <x:row r="845" ht="22" customHeight="1">
      <x:c r="A845" s="8" t="n">
        <x:v>46227</x:v>
      </x:c>
      <x:c r="B845" s="7" t="str">
        <x:v>US_EQ</x:v>
      </x:c>
      <x:c r="C845" s="7" t="n">
        <x:v>233.7399686819</x:v>
      </x:c>
      <x:c r="D845" s="7" t="n">
        <x:v>233.7399686819</x:v>
      </x:c>
      <x:c r="E845" s="7" t="str">
        <x:v>SYNTHETIC: seeded teaching dataset; not observed market data</x:v>
      </x:c>
      <x:c r="F845" s="7" t="n">
        <x:v>46266</x:v>
      </x:c>
    </x:row>
    <x:row r="846" ht="22" customHeight="1">
      <x:c r="A846" s="8" t="n">
        <x:v>46230</x:v>
      </x:c>
      <x:c r="B846" s="7" t="str">
        <x:v>US_EQ</x:v>
      </x:c>
      <x:c r="C846" s="7" t="n">
        <x:v>233.3562183186</x:v>
      </x:c>
      <x:c r="D846" s="7" t="n">
        <x:v>233.3562183186</x:v>
      </x:c>
      <x:c r="E846" s="7" t="str">
        <x:v>SYNTHETIC: seeded teaching dataset; not observed market data</x:v>
      </x:c>
      <x:c r="F846" s="7" t="n">
        <x:v>46266</x:v>
      </x:c>
    </x:row>
    <x:row r="847" ht="22" customHeight="1">
      <x:c r="A847" s="8" t="n">
        <x:v>46231</x:v>
      </x:c>
      <x:c r="B847" s="7" t="str">
        <x:v>US_EQ</x:v>
      </x:c>
      <x:c r="C847" s="7" t="n">
        <x:v>231.5496727618</x:v>
      </x:c>
      <x:c r="D847" s="7" t="n">
        <x:v>231.5496727618</x:v>
      </x:c>
      <x:c r="E847" s="7" t="str">
        <x:v>SYNTHETIC: seeded teaching dataset; not observed market data</x:v>
      </x:c>
      <x:c r="F847" s="7" t="n">
        <x:v>46266</x:v>
      </x:c>
    </x:row>
    <x:row r="848" ht="22" customHeight="1">
      <x:c r="A848" s="8" t="n">
        <x:v>46232</x:v>
      </x:c>
      <x:c r="B848" s="7" t="str">
        <x:v>US_EQ</x:v>
      </x:c>
      <x:c r="C848" s="7" t="n">
        <x:v>227.7548411796</x:v>
      </x:c>
      <x:c r="D848" s="7" t="n">
        <x:v>227.7548411796</x:v>
      </x:c>
      <x:c r="E848" s="7" t="str">
        <x:v>SYNTHETIC: seeded teaching dataset; not observed market data</x:v>
      </x:c>
      <x:c r="F848" s="7" t="n">
        <x:v>46266</x:v>
      </x:c>
    </x:row>
    <x:row r="849" ht="22" customHeight="1">
      <x:c r="A849" s="8" t="n">
        <x:v>46233</x:v>
      </x:c>
      <x:c r="B849" s="7" t="str">
        <x:v>US_EQ</x:v>
      </x:c>
      <x:c r="C849" s="7" t="n">
        <x:v>231.7226347864</x:v>
      </x:c>
      <x:c r="D849" s="7" t="n">
        <x:v>231.7226347864</x:v>
      </x:c>
      <x:c r="E849" s="7" t="str">
        <x:v>SYNTHETIC: seeded teaching dataset; not observed market data</x:v>
      </x:c>
      <x:c r="F849" s="7" t="n">
        <x:v>46266</x:v>
      </x:c>
    </x:row>
    <x:row r="850" ht="22" customHeight="1">
      <x:c r="A850" s="8" t="n">
        <x:v>46234</x:v>
      </x:c>
      <x:c r="B850" s="7" t="str">
        <x:v>US_EQ</x:v>
      </x:c>
      <x:c r="C850" s="7" t="n">
        <x:v>235.4783011857</x:v>
      </x:c>
      <x:c r="D850" s="7" t="n">
        <x:v>235.4783011857</x:v>
      </x:c>
      <x:c r="E850" s="7" t="str">
        <x:v>SYNTHETIC: seeded teaching dataset; not observed market data</x:v>
      </x:c>
      <x:c r="F850" s="7" t="n">
        <x:v>46266</x:v>
      </x:c>
    </x:row>
    <x:row r="851" ht="22" customHeight="1">
      <x:c r="A851" s="8" t="n">
        <x:v>46237</x:v>
      </x:c>
      <x:c r="B851" s="7" t="str">
        <x:v>US_EQ</x:v>
      </x:c>
      <x:c r="C851" s="7" t="n">
        <x:v>245.7997226067</x:v>
      </x:c>
      <x:c r="D851" s="7" t="n">
        <x:v>245.7997226067</x:v>
      </x:c>
      <x:c r="E851" s="7" t="str">
        <x:v>SYNTHETIC: seeded teaching dataset; not observed market data</x:v>
      </x:c>
      <x:c r="F851" s="7" t="n">
        <x:v>46266</x:v>
      </x:c>
    </x:row>
    <x:row r="852" ht="22" customHeight="1">
      <x:c r="A852" s="8" t="n">
        <x:v>46238</x:v>
      </x:c>
      <x:c r="B852" s="7" t="str">
        <x:v>US_EQ</x:v>
      </x:c>
      <x:c r="C852" s="7" t="n">
        <x:v>244.7311697637</x:v>
      </x:c>
      <x:c r="D852" s="7" t="n">
        <x:v>244.7311697637</x:v>
      </x:c>
      <x:c r="E852" s="7" t="str">
        <x:v>SYNTHETIC: seeded teaching dataset; not observed market data</x:v>
      </x:c>
      <x:c r="F852" s="7" t="n">
        <x:v>46266</x:v>
      </x:c>
    </x:row>
    <x:row r="853" ht="22" customHeight="1">
      <x:c r="A853" s="8" t="n">
        <x:v>46239</x:v>
      </x:c>
      <x:c r="B853" s="7" t="str">
        <x:v>US_EQ</x:v>
      </x:c>
      <x:c r="C853" s="7" t="n">
        <x:v>249.1752462755</x:v>
      </x:c>
      <x:c r="D853" s="7" t="n">
        <x:v>249.1752462755</x:v>
      </x:c>
      <x:c r="E853" s="7" t="str">
        <x:v>SYNTHETIC: seeded teaching dataset; not observed market data</x:v>
      </x:c>
      <x:c r="F853" s="7" t="n">
        <x:v>46266</x:v>
      </x:c>
    </x:row>
    <x:row r="854" ht="22" customHeight="1">
      <x:c r="A854" s="8" t="n">
        <x:v>46240</x:v>
      </x:c>
      <x:c r="B854" s="7" t="str">
        <x:v>US_EQ</x:v>
      </x:c>
      <x:c r="C854" s="7" t="n">
        <x:v>248.62677337</x:v>
      </x:c>
      <x:c r="D854" s="7" t="n">
        <x:v>248.62677337</x:v>
      </x:c>
      <x:c r="E854" s="7" t="str">
        <x:v>SYNTHETIC: seeded teaching dataset; not observed market data</x:v>
      </x:c>
      <x:c r="F854" s="7" t="n">
        <x:v>46266</x:v>
      </x:c>
    </x:row>
    <x:row r="855" ht="22" customHeight="1">
      <x:c r="A855" s="8" t="n">
        <x:v>46241</x:v>
      </x:c>
      <x:c r="B855" s="7" t="str">
        <x:v>US_EQ</x:v>
      </x:c>
      <x:c r="C855" s="7" t="n">
        <x:v>247.373334658</x:v>
      </x:c>
      <x:c r="D855" s="7" t="n">
        <x:v>247.373334658</x:v>
      </x:c>
      <x:c r="E855" s="7" t="str">
        <x:v>SYNTHETIC: seeded teaching dataset; not observed market data</x:v>
      </x:c>
      <x:c r="F855" s="7" t="n">
        <x:v>46266</x:v>
      </x:c>
    </x:row>
    <x:row r="856" ht="22" customHeight="1">
      <x:c r="A856" s="8" t="n">
        <x:v>46244</x:v>
      </x:c>
      <x:c r="B856" s="7" t="str">
        <x:v>US_EQ</x:v>
      </x:c>
      <x:c r="C856" s="7" t="n">
        <x:v>248.2019393885</x:v>
      </x:c>
      <x:c r="D856" s="7" t="n">
        <x:v>248.2019393885</x:v>
      </x:c>
      <x:c r="E856" s="7" t="str">
        <x:v>SYNTHETIC: seeded teaching dataset; not observed market data</x:v>
      </x:c>
      <x:c r="F856" s="7" t="n">
        <x:v>46266</x:v>
      </x:c>
    </x:row>
    <x:row r="857" ht="22" customHeight="1">
      <x:c r="A857" s="8" t="n">
        <x:v>46245</x:v>
      </x:c>
      <x:c r="B857" s="7" t="str">
        <x:v>US_EQ</x:v>
      </x:c>
      <x:c r="C857" s="7" t="n">
        <x:v>254.3415924872</x:v>
      </x:c>
      <x:c r="D857" s="7" t="n">
        <x:v>254.3415924872</x:v>
      </x:c>
      <x:c r="E857" s="7" t="str">
        <x:v>SYNTHETIC: seeded teaching dataset; not observed market data</x:v>
      </x:c>
      <x:c r="F857" s="7" t="n">
        <x:v>46266</x:v>
      </x:c>
    </x:row>
    <x:row r="858" ht="22" customHeight="1">
      <x:c r="A858" s="8" t="n">
        <x:v>46246</x:v>
      </x:c>
      <x:c r="B858" s="7" t="str">
        <x:v>US_EQ</x:v>
      </x:c>
      <x:c r="C858" s="7" t="n">
        <x:v>257.7931978174</x:v>
      </x:c>
      <x:c r="D858" s="7" t="n">
        <x:v>257.7931978174</x:v>
      </x:c>
      <x:c r="E858" s="7" t="str">
        <x:v>SYNTHETIC: seeded teaching dataset; not observed market data</x:v>
      </x:c>
      <x:c r="F858" s="7" t="n">
        <x:v>46266</x:v>
      </x:c>
    </x:row>
    <x:row r="859" ht="22" customHeight="1">
      <x:c r="A859" s="8" t="n">
        <x:v>46247</x:v>
      </x:c>
      <x:c r="B859" s="7" t="str">
        <x:v>US_EQ</x:v>
      </x:c>
      <x:c r="C859" s="7" t="n">
        <x:v>255.3058625059</x:v>
      </x:c>
      <x:c r="D859" s="7" t="n">
        <x:v>255.3058625059</x:v>
      </x:c>
      <x:c r="E859" s="7" t="str">
        <x:v>SYNTHETIC: seeded teaching dataset; not observed market data</x:v>
      </x:c>
      <x:c r="F859" s="7" t="n">
        <x:v>46266</x:v>
      </x:c>
    </x:row>
    <x:row r="860" ht="22" customHeight="1">
      <x:c r="A860" s="8" t="n">
        <x:v>46248</x:v>
      </x:c>
      <x:c r="B860" s="7" t="str">
        <x:v>US_EQ</x:v>
      </x:c>
      <x:c r="C860" s="7" t="n">
        <x:v>257.0924615314</x:v>
      </x:c>
      <x:c r="D860" s="7" t="n">
        <x:v>257.0924615314</x:v>
      </x:c>
      <x:c r="E860" s="7" t="str">
        <x:v>SYNTHETIC: seeded teaching dataset; not observed market data</x:v>
      </x:c>
      <x:c r="F860" s="7" t="n">
        <x:v>46266</x:v>
      </x:c>
    </x:row>
    <x:row r="861" ht="22" customHeight="1">
      <x:c r="A861" s="8" t="n">
        <x:v>46251</x:v>
      </x:c>
      <x:c r="B861" s="7" t="str">
        <x:v>US_EQ</x:v>
      </x:c>
      <x:c r="C861" s="7" t="n">
        <x:v>253.71327721</x:v>
      </x:c>
      <x:c r="D861" s="7" t="n">
        <x:v>253.71327721</x:v>
      </x:c>
      <x:c r="E861" s="7" t="str">
        <x:v>SYNTHETIC: seeded teaching dataset; not observed market data</x:v>
      </x:c>
      <x:c r="F861" s="7" t="n">
        <x:v>46266</x:v>
      </x:c>
    </x:row>
    <x:row r="862" ht="22" customHeight="1">
      <x:c r="A862" s="8" t="n">
        <x:v>46252</x:v>
      </x:c>
      <x:c r="B862" s="7" t="str">
        <x:v>US_EQ</x:v>
      </x:c>
      <x:c r="C862" s="7" t="n">
        <x:v>255.9953930976</x:v>
      </x:c>
      <x:c r="D862" s="7" t="n">
        <x:v>255.9953930976</x:v>
      </x:c>
      <x:c r="E862" s="7" t="str">
        <x:v>SYNTHETIC: seeded teaching dataset; not observed market data</x:v>
      </x:c>
      <x:c r="F862" s="7" t="n">
        <x:v>46266</x:v>
      </x:c>
    </x:row>
    <x:row r="863" ht="22" customHeight="1">
      <x:c r="A863" s="8" t="n">
        <x:v>46253</x:v>
      </x:c>
      <x:c r="B863" s="7" t="str">
        <x:v>US_EQ</x:v>
      </x:c>
      <x:c r="C863" s="7" t="n">
        <x:v>258.0867673601</x:v>
      </x:c>
      <x:c r="D863" s="7" t="n">
        <x:v>258.0867673601</x:v>
      </x:c>
      <x:c r="E863" s="7" t="str">
        <x:v>SYNTHETIC: seeded teaching dataset; not observed market data</x:v>
      </x:c>
      <x:c r="F863" s="7" t="n">
        <x:v>46266</x:v>
      </x:c>
    </x:row>
    <x:row r="864" ht="22" customHeight="1">
      <x:c r="A864" s="8" t="n">
        <x:v>46254</x:v>
      </x:c>
      <x:c r="B864" s="7" t="str">
        <x:v>US_EQ</x:v>
      </x:c>
      <x:c r="C864" s="7" t="n">
        <x:v>262.255204068</x:v>
      </x:c>
      <x:c r="D864" s="7" t="n">
        <x:v>262.255204068</x:v>
      </x:c>
      <x:c r="E864" s="7" t="str">
        <x:v>SYNTHETIC: seeded teaching dataset; not observed market data</x:v>
      </x:c>
      <x:c r="F864" s="7" t="n">
        <x:v>46266</x:v>
      </x:c>
    </x:row>
    <x:row r="865" ht="22" customHeight="1">
      <x:c r="A865" s="8" t="n">
        <x:v>46255</x:v>
      </x:c>
      <x:c r="B865" s="7" t="str">
        <x:v>US_EQ</x:v>
      </x:c>
      <x:c r="C865" s="7" t="n">
        <x:v>263.0344271181</x:v>
      </x:c>
      <x:c r="D865" s="7" t="n">
        <x:v>263.0344271181</x:v>
      </x:c>
      <x:c r="E865" s="7" t="str">
        <x:v>SYNTHETIC: seeded teaching dataset; not observed market data</x:v>
      </x:c>
      <x:c r="F865" s="7" t="n">
        <x:v>46266</x:v>
      </x:c>
    </x:row>
    <x:row r="866" ht="22" customHeight="1">
      <x:c r="A866" s="8" t="n">
        <x:v>46258</x:v>
      </x:c>
      <x:c r="B866" s="7" t="str">
        <x:v>US_EQ</x:v>
      </x:c>
      <x:c r="C866" s="7" t="n">
        <x:v>264.4651266199</x:v>
      </x:c>
      <x:c r="D866" s="7" t="n">
        <x:v>264.4651266199</x:v>
      </x:c>
      <x:c r="E866" s="7" t="str">
        <x:v>SYNTHETIC: seeded teaching dataset; not observed market data</x:v>
      </x:c>
      <x:c r="F866" s="7" t="n">
        <x:v>46266</x:v>
      </x:c>
    </x:row>
    <x:row r="867" ht="22" customHeight="1">
      <x:c r="A867" s="8" t="n">
        <x:v>46259</x:v>
      </x:c>
      <x:c r="B867" s="7" t="str">
        <x:v>US_EQ</x:v>
      </x:c>
      <x:c r="C867" s="7" t="n">
        <x:v>256.237776907</x:v>
      </x:c>
      <x:c r="D867" s="7" t="n">
        <x:v>256.237776907</x:v>
      </x:c>
      <x:c r="E867" s="7" t="str">
        <x:v>SYNTHETIC: seeded teaching dataset; not observed market data</x:v>
      </x:c>
      <x:c r="F867" s="7" t="n">
        <x:v>46266</x:v>
      </x:c>
    </x:row>
    <x:row r="868" ht="22" customHeight="1">
      <x:c r="A868" s="8" t="n">
        <x:v>46260</x:v>
      </x:c>
      <x:c r="B868" s="7" t="str">
        <x:v>US_EQ</x:v>
      </x:c>
      <x:c r="C868" s="7" t="n">
        <x:v>257.4712533671</x:v>
      </x:c>
      <x:c r="D868" s="7" t="n">
        <x:v>257.4712533671</x:v>
      </x:c>
      <x:c r="E868" s="7" t="str">
        <x:v>SYNTHETIC: seeded teaching dataset; not observed market data</x:v>
      </x:c>
      <x:c r="F868" s="7" t="n">
        <x:v>46266</x:v>
      </x:c>
    </x:row>
    <x:row r="869" ht="22" customHeight="1">
      <x:c r="A869" s="8" t="n">
        <x:v>46261</x:v>
      </x:c>
      <x:c r="B869" s="7" t="str">
        <x:v>US_EQ</x:v>
      </x:c>
      <x:c r="C869" s="7" t="n">
        <x:v>256.4639060136</x:v>
      </x:c>
      <x:c r="D869" s="7" t="n">
        <x:v>256.4639060136</x:v>
      </x:c>
      <x:c r="E869" s="7" t="str">
        <x:v>SYNTHETIC: seeded teaching dataset; not observed market data</x:v>
      </x:c>
      <x:c r="F869" s="7" t="n">
        <x:v>46266</x:v>
      </x:c>
    </x:row>
    <x:row r="870" ht="22" customHeight="1">
      <x:c r="A870" s="8" t="n">
        <x:v>46262</x:v>
      </x:c>
      <x:c r="B870" s="7" t="str">
        <x:v>US_EQ</x:v>
      </x:c>
      <x:c r="C870" s="7" t="n">
        <x:v>252.1873144134</x:v>
      </x:c>
      <x:c r="D870" s="7" t="n">
        <x:v>252.1873144134</x:v>
      </x:c>
      <x:c r="E870" s="7" t="str">
        <x:v>SYNTHETIC: seeded teaching dataset; not observed market data</x:v>
      </x:c>
      <x:c r="F870" s="7" t="n">
        <x:v>46266</x:v>
      </x:c>
    </x:row>
    <x:row r="871" ht="22" customHeight="1">
      <x:c r="A871" s="8" t="n">
        <x:v>46265</x:v>
      </x:c>
      <x:c r="B871" s="7" t="str">
        <x:v>US_EQ</x:v>
      </x:c>
      <x:c r="C871" s="7" t="n">
        <x:v>250</x:v>
      </x:c>
      <x:c r="D871" s="7" t="n">
        <x:v>250</x:v>
      </x:c>
      <x:c r="E871" s="7" t="str">
        <x:v>SYNTHETIC: seeded teaching dataset; not observed market data</x:v>
      </x:c>
      <x:c r="F871" s="7" t="n">
        <x:v>46266</x:v>
      </x:c>
    </x:row>
    <x:row r="872" ht="22" customHeight="1">
      <x:c r="A872" s="8" t="n">
        <x:v>45659</x:v>
      </x:c>
      <x:c r="B872" s="7" t="str">
        <x:v>US_ETF</x:v>
      </x:c>
      <x:c r="C872" s="7" t="n">
        <x:v>98.8073807047</x:v>
      </x:c>
      <x:c r="D872" s="7" t="n">
        <x:v>98.8073807047</x:v>
      </x:c>
      <x:c r="E872" s="7" t="str">
        <x:v>SYNTHETIC: seeded teaching dataset; not observed market data</x:v>
      </x:c>
      <x:c r="F872" s="7" t="n">
        <x:v>46266</x:v>
      </x:c>
    </x:row>
    <x:row r="873" ht="22" customHeight="1">
      <x:c r="A873" s="8" t="n">
        <x:v>45660</x:v>
      </x:c>
      <x:c r="B873" s="7" t="str">
        <x:v>US_ETF</x:v>
      </x:c>
      <x:c r="C873" s="7" t="n">
        <x:v>98.1862686722</x:v>
      </x:c>
      <x:c r="D873" s="7" t="n">
        <x:v>98.1862686722</x:v>
      </x:c>
      <x:c r="E873" s="7" t="str">
        <x:v>SYNTHETIC: seeded teaching dataset; not observed market data</x:v>
      </x:c>
      <x:c r="F873" s="7" t="n">
        <x:v>46266</x:v>
      </x:c>
    </x:row>
    <x:row r="874" ht="22" customHeight="1">
      <x:c r="A874" s="8" t="n">
        <x:v>45663</x:v>
      </x:c>
      <x:c r="B874" s="7" t="str">
        <x:v>US_ETF</x:v>
      </x:c>
      <x:c r="C874" s="7" t="n">
        <x:v>98.4639828426</x:v>
      </x:c>
      <x:c r="D874" s="7" t="n">
        <x:v>98.4639828426</x:v>
      </x:c>
      <x:c r="E874" s="7" t="str">
        <x:v>SYNTHETIC: seeded teaching dataset; not observed market data</x:v>
      </x:c>
      <x:c r="F874" s="7" t="n">
        <x:v>46266</x:v>
      </x:c>
    </x:row>
    <x:row r="875" ht="22" customHeight="1">
      <x:c r="A875" s="8" t="n">
        <x:v>45664</x:v>
      </x:c>
      <x:c r="B875" s="7" t="str">
        <x:v>US_ETF</x:v>
      </x:c>
      <x:c r="C875" s="7" t="n">
        <x:v>98.062439214</x:v>
      </x:c>
      <x:c r="D875" s="7" t="n">
        <x:v>98.062439214</x:v>
      </x:c>
      <x:c r="E875" s="7" t="str">
        <x:v>SYNTHETIC: seeded teaching dataset; not observed market data</x:v>
      </x:c>
      <x:c r="F875" s="7" t="n">
        <x:v>46266</x:v>
      </x:c>
    </x:row>
    <x:row r="876" ht="22" customHeight="1">
      <x:c r="A876" s="8" t="n">
        <x:v>45665</x:v>
      </x:c>
      <x:c r="B876" s="7" t="str">
        <x:v>US_ETF</x:v>
      </x:c>
      <x:c r="C876" s="7" t="n">
        <x:v>98.0113673673</x:v>
      </x:c>
      <x:c r="D876" s="7" t="n">
        <x:v>98.0113673673</x:v>
      </x:c>
      <x:c r="E876" s="7" t="str">
        <x:v>SYNTHETIC: seeded teaching dataset; not observed market data</x:v>
      </x:c>
      <x:c r="F876" s="7" t="n">
        <x:v>46266</x:v>
      </x:c>
    </x:row>
    <x:row r="877" ht="22" customHeight="1">
      <x:c r="A877" s="8" t="n">
        <x:v>45666</x:v>
      </x:c>
      <x:c r="B877" s="7" t="str">
        <x:v>US_ETF</x:v>
      </x:c>
      <x:c r="C877" s="7" t="n">
        <x:v>98.2331166649</x:v>
      </x:c>
      <x:c r="D877" s="7" t="n">
        <x:v>98.2331166649</x:v>
      </x:c>
      <x:c r="E877" s="7" t="str">
        <x:v>SYNTHETIC: seeded teaching dataset; not observed market data</x:v>
      </x:c>
      <x:c r="F877" s="7" t="n">
        <x:v>46266</x:v>
      </x:c>
    </x:row>
    <x:row r="878" ht="22" customHeight="1">
      <x:c r="A878" s="8" t="n">
        <x:v>45667</x:v>
      </x:c>
      <x:c r="B878" s="7" t="str">
        <x:v>US_ETF</x:v>
      </x:c>
      <x:c r="C878" s="7" t="n">
        <x:v>97.9659357938</x:v>
      </x:c>
      <x:c r="D878" s="7" t="n">
        <x:v>97.9659357938</x:v>
      </x:c>
      <x:c r="E878" s="7" t="str">
        <x:v>SYNTHETIC: seeded teaching dataset; not observed market data</x:v>
      </x:c>
      <x:c r="F878" s="7" t="n">
        <x:v>46266</x:v>
      </x:c>
    </x:row>
    <x:row r="879" ht="22" customHeight="1">
      <x:c r="A879" s="8" t="n">
        <x:v>45670</x:v>
      </x:c>
      <x:c r="B879" s="7" t="str">
        <x:v>US_ETF</x:v>
      </x:c>
      <x:c r="C879" s="7" t="n">
        <x:v>97.5411724411</x:v>
      </x:c>
      <x:c r="D879" s="7" t="n">
        <x:v>97.5411724411</x:v>
      </x:c>
      <x:c r="E879" s="7" t="str">
        <x:v>SYNTHETIC: seeded teaching dataset; not observed market data</x:v>
      </x:c>
      <x:c r="F879" s="7" t="n">
        <x:v>46266</x:v>
      </x:c>
    </x:row>
    <x:row r="880" ht="22" customHeight="1">
      <x:c r="A880" s="8" t="n">
        <x:v>45671</x:v>
      </x:c>
      <x:c r="B880" s="7" t="str">
        <x:v>US_ETF</x:v>
      </x:c>
      <x:c r="C880" s="7" t="n">
        <x:v>97.9762088811</x:v>
      </x:c>
      <x:c r="D880" s="7" t="n">
        <x:v>97.9762088811</x:v>
      </x:c>
      <x:c r="E880" s="7" t="str">
        <x:v>SYNTHETIC: seeded teaching dataset; not observed market data</x:v>
      </x:c>
      <x:c r="F880" s="7" t="n">
        <x:v>46266</x:v>
      </x:c>
    </x:row>
    <x:row r="881" ht="22" customHeight="1">
      <x:c r="A881" s="8" t="n">
        <x:v>45672</x:v>
      </x:c>
      <x:c r="B881" s="7" t="str">
        <x:v>US_ETF</x:v>
      </x:c>
      <x:c r="C881" s="7" t="n">
        <x:v>97.3928378938</x:v>
      </x:c>
      <x:c r="D881" s="7" t="n">
        <x:v>97.3928378938</x:v>
      </x:c>
      <x:c r="E881" s="7" t="str">
        <x:v>SYNTHETIC: seeded teaching dataset; not observed market data</x:v>
      </x:c>
      <x:c r="F881" s="7" t="n">
        <x:v>46266</x:v>
      </x:c>
    </x:row>
    <x:row r="882" ht="22" customHeight="1">
      <x:c r="A882" s="8" t="n">
        <x:v>45673</x:v>
      </x:c>
      <x:c r="B882" s="7" t="str">
        <x:v>US_ETF</x:v>
      </x:c>
      <x:c r="C882" s="7" t="n">
        <x:v>97.7957344589</x:v>
      </x:c>
      <x:c r="D882" s="7" t="n">
        <x:v>97.7957344589</x:v>
      </x:c>
      <x:c r="E882" s="7" t="str">
        <x:v>SYNTHETIC: seeded teaching dataset; not observed market data</x:v>
      </x:c>
      <x:c r="F882" s="7" t="n">
        <x:v>46266</x:v>
      </x:c>
    </x:row>
    <x:row r="883" ht="22" customHeight="1">
      <x:c r="A883" s="8" t="n">
        <x:v>45674</x:v>
      </x:c>
      <x:c r="B883" s="7" t="str">
        <x:v>US_ETF</x:v>
      </x:c>
      <x:c r="C883" s="7" t="n">
        <x:v>97.8723473888</x:v>
      </x:c>
      <x:c r="D883" s="7" t="n">
        <x:v>97.8723473888</x:v>
      </x:c>
      <x:c r="E883" s="7" t="str">
        <x:v>SYNTHETIC: seeded teaching dataset; not observed market data</x:v>
      </x:c>
      <x:c r="F883" s="7" t="n">
        <x:v>46266</x:v>
      </x:c>
    </x:row>
    <x:row r="884" ht="22" customHeight="1">
      <x:c r="A884" s="8" t="n">
        <x:v>45677</x:v>
      </x:c>
      <x:c r="B884" s="7" t="str">
        <x:v>US_ETF</x:v>
      </x:c>
      <x:c r="C884" s="7" t="n">
        <x:v>97.5401478094</x:v>
      </x:c>
      <x:c r="D884" s="7" t="n">
        <x:v>97.5401478094</x:v>
      </x:c>
      <x:c r="E884" s="7" t="str">
        <x:v>SYNTHETIC: seeded teaching dataset; not observed market data</x:v>
      </x:c>
      <x:c r="F884" s="7" t="n">
        <x:v>46266</x:v>
      </x:c>
    </x:row>
    <x:row r="885" ht="22" customHeight="1">
      <x:c r="A885" s="8" t="n">
        <x:v>45678</x:v>
      </x:c>
      <x:c r="B885" s="7" t="str">
        <x:v>US_ETF</x:v>
      </x:c>
      <x:c r="C885" s="7" t="n">
        <x:v>97.3413826179</x:v>
      </x:c>
      <x:c r="D885" s="7" t="n">
        <x:v>97.3413826179</x:v>
      </x:c>
      <x:c r="E885" s="7" t="str">
        <x:v>SYNTHETIC: seeded teaching dataset; not observed market data</x:v>
      </x:c>
      <x:c r="F885" s="7" t="n">
        <x:v>46266</x:v>
      </x:c>
    </x:row>
    <x:row r="886" ht="22" customHeight="1">
      <x:c r="A886" s="8" t="n">
        <x:v>45679</x:v>
      </x:c>
      <x:c r="B886" s="7" t="str">
        <x:v>US_ETF</x:v>
      </x:c>
      <x:c r="C886" s="7" t="n">
        <x:v>97.3212026191</x:v>
      </x:c>
      <x:c r="D886" s="7" t="n">
        <x:v>97.3212026191</x:v>
      </x:c>
      <x:c r="E886" s="7" t="str">
        <x:v>SYNTHETIC: seeded teaching dataset; not observed market data</x:v>
      </x:c>
      <x:c r="F886" s="7" t="n">
        <x:v>46266</x:v>
      </x:c>
    </x:row>
    <x:row r="887" ht="22" customHeight="1">
      <x:c r="A887" s="8" t="n">
        <x:v>45680</x:v>
      </x:c>
      <x:c r="B887" s="7" t="str">
        <x:v>US_ETF</x:v>
      </x:c>
      <x:c r="C887" s="7" t="n">
        <x:v>97.0331175365</x:v>
      </x:c>
      <x:c r="D887" s="7" t="n">
        <x:v>97.0331175365</x:v>
      </x:c>
      <x:c r="E887" s="7" t="str">
        <x:v>SYNTHETIC: seeded teaching dataset; not observed market data</x:v>
      </x:c>
      <x:c r="F887" s="7" t="n">
        <x:v>46266</x:v>
      </x:c>
    </x:row>
    <x:row r="888" ht="22" customHeight="1">
      <x:c r="A888" s="8" t="n">
        <x:v>45681</x:v>
      </x:c>
      <x:c r="B888" s="7" t="str">
        <x:v>US_ETF</x:v>
      </x:c>
      <x:c r="C888" s="7" t="n">
        <x:v>96.5772323523</x:v>
      </x:c>
      <x:c r="D888" s="7" t="n">
        <x:v>96.5772323523</x:v>
      </x:c>
      <x:c r="E888" s="7" t="str">
        <x:v>SYNTHETIC: seeded teaching dataset; not observed market data</x:v>
      </x:c>
      <x:c r="F888" s="7" t="n">
        <x:v>46266</x:v>
      </x:c>
    </x:row>
    <x:row r="889" ht="22" customHeight="1">
      <x:c r="A889" s="8" t="n">
        <x:v>45684</x:v>
      </x:c>
      <x:c r="B889" s="7" t="str">
        <x:v>US_ETF</x:v>
      </x:c>
      <x:c r="C889" s="7" t="n">
        <x:v>96.47778491</x:v>
      </x:c>
      <x:c r="D889" s="7" t="n">
        <x:v>96.47778491</x:v>
      </x:c>
      <x:c r="E889" s="7" t="str">
        <x:v>SYNTHETIC: seeded teaching dataset; not observed market data</x:v>
      </x:c>
      <x:c r="F889" s="7" t="n">
        <x:v>46266</x:v>
      </x:c>
    </x:row>
    <x:row r="890" ht="22" customHeight="1">
      <x:c r="A890" s="8" t="n">
        <x:v>45685</x:v>
      </x:c>
      <x:c r="B890" s="7" t="str">
        <x:v>US_ETF</x:v>
      </x:c>
      <x:c r="C890" s="7" t="n">
        <x:v>96.5427804672</x:v>
      </x:c>
      <x:c r="D890" s="7" t="n">
        <x:v>96.5427804672</x:v>
      </x:c>
      <x:c r="E890" s="7" t="str">
        <x:v>SYNTHETIC: seeded teaching dataset; not observed market data</x:v>
      </x:c>
      <x:c r="F890" s="7" t="n">
        <x:v>46266</x:v>
      </x:c>
    </x:row>
    <x:row r="891" ht="22" customHeight="1">
      <x:c r="A891" s="8" t="n">
        <x:v>45686</x:v>
      </x:c>
      <x:c r="B891" s="7" t="str">
        <x:v>US_ETF</x:v>
      </x:c>
      <x:c r="C891" s="7" t="n">
        <x:v>96.2066282936</x:v>
      </x:c>
      <x:c r="D891" s="7" t="n">
        <x:v>96.2066282936</x:v>
      </x:c>
      <x:c r="E891" s="7" t="str">
        <x:v>SYNTHETIC: seeded teaching dataset; not observed market data</x:v>
      </x:c>
      <x:c r="F891" s="7" t="n">
        <x:v>46266</x:v>
      </x:c>
    </x:row>
    <x:row r="892" ht="22" customHeight="1">
      <x:c r="A892" s="8" t="n">
        <x:v>45687</x:v>
      </x:c>
      <x:c r="B892" s="7" t="str">
        <x:v>US_ETF</x:v>
      </x:c>
      <x:c r="C892" s="7" t="n">
        <x:v>96.1596085318</x:v>
      </x:c>
      <x:c r="D892" s="7" t="n">
        <x:v>96.1596085318</x:v>
      </x:c>
      <x:c r="E892" s="7" t="str">
        <x:v>SYNTHETIC: seeded teaching dataset; not observed market data</x:v>
      </x:c>
      <x:c r="F892" s="7" t="n">
        <x:v>46266</x:v>
      </x:c>
    </x:row>
    <x:row r="893" ht="22" customHeight="1">
      <x:c r="A893" s="8" t="n">
        <x:v>45688</x:v>
      </x:c>
      <x:c r="B893" s="7" t="str">
        <x:v>US_ETF</x:v>
      </x:c>
      <x:c r="C893" s="7" t="n">
        <x:v>96.400230327</x:v>
      </x:c>
      <x:c r="D893" s="7" t="n">
        <x:v>96.400230327</x:v>
      </x:c>
      <x:c r="E893" s="7" t="str">
        <x:v>SYNTHETIC: seeded teaching dataset; not observed market data</x:v>
      </x:c>
      <x:c r="F893" s="7" t="n">
        <x:v>46266</x:v>
      </x:c>
    </x:row>
    <x:row r="894" ht="22" customHeight="1">
      <x:c r="A894" s="8" t="n">
        <x:v>45691</x:v>
      </x:c>
      <x:c r="B894" s="7" t="str">
        <x:v>US_ETF</x:v>
      </x:c>
      <x:c r="C894" s="7" t="n">
        <x:v>96.6970337025</x:v>
      </x:c>
      <x:c r="D894" s="7" t="n">
        <x:v>96.6970337025</x:v>
      </x:c>
      <x:c r="E894" s="7" t="str">
        <x:v>SYNTHETIC: seeded teaching dataset; not observed market data</x:v>
      </x:c>
      <x:c r="F894" s="7" t="n">
        <x:v>46266</x:v>
      </x:c>
    </x:row>
    <x:row r="895" ht="22" customHeight="1">
      <x:c r="A895" s="8" t="n">
        <x:v>45692</x:v>
      </x:c>
      <x:c r="B895" s="7" t="str">
        <x:v>US_ETF</x:v>
      </x:c>
      <x:c r="C895" s="7" t="n">
        <x:v>96.2829514583</x:v>
      </x:c>
      <x:c r="D895" s="7" t="n">
        <x:v>96.2829514583</x:v>
      </x:c>
      <x:c r="E895" s="7" t="str">
        <x:v>SYNTHETIC: seeded teaching dataset; not observed market data</x:v>
      </x:c>
      <x:c r="F895" s="7" t="n">
        <x:v>46266</x:v>
      </x:c>
    </x:row>
    <x:row r="896" ht="22" customHeight="1">
      <x:c r="A896" s="8" t="n">
        <x:v>45693</x:v>
      </x:c>
      <x:c r="B896" s="7" t="str">
        <x:v>US_ETF</x:v>
      </x:c>
      <x:c r="C896" s="7" t="n">
        <x:v>97.1056653797</x:v>
      </x:c>
      <x:c r="D896" s="7" t="n">
        <x:v>97.1056653797</x:v>
      </x:c>
      <x:c r="E896" s="7" t="str">
        <x:v>SYNTHETIC: seeded teaching dataset; not observed market data</x:v>
      </x:c>
      <x:c r="F896" s="7" t="n">
        <x:v>46266</x:v>
      </x:c>
    </x:row>
    <x:row r="897" ht="22" customHeight="1">
      <x:c r="A897" s="8" t="n">
        <x:v>45694</x:v>
      </x:c>
      <x:c r="B897" s="7" t="str">
        <x:v>US_ETF</x:v>
      </x:c>
      <x:c r="C897" s="7" t="n">
        <x:v>96.3054778373</x:v>
      </x:c>
      <x:c r="D897" s="7" t="n">
        <x:v>96.3054778373</x:v>
      </x:c>
      <x:c r="E897" s="7" t="str">
        <x:v>SYNTHETIC: seeded teaching dataset; not observed market data</x:v>
      </x:c>
      <x:c r="F897" s="7" t="n">
        <x:v>46266</x:v>
      </x:c>
    </x:row>
    <x:row r="898" ht="22" customHeight="1">
      <x:c r="A898" s="8" t="n">
        <x:v>45695</x:v>
      </x:c>
      <x:c r="B898" s="7" t="str">
        <x:v>US_ETF</x:v>
      </x:c>
      <x:c r="C898" s="7" t="n">
        <x:v>96.0875191387</x:v>
      </x:c>
      <x:c r="D898" s="7" t="n">
        <x:v>96.0875191387</x:v>
      </x:c>
      <x:c r="E898" s="7" t="str">
        <x:v>SYNTHETIC: seeded teaching dataset; not observed market data</x:v>
      </x:c>
      <x:c r="F898" s="7" t="n">
        <x:v>46266</x:v>
      </x:c>
    </x:row>
    <x:row r="899" ht="22" customHeight="1">
      <x:c r="A899" s="8" t="n">
        <x:v>45698</x:v>
      </x:c>
      <x:c r="B899" s="7" t="str">
        <x:v>US_ETF</x:v>
      </x:c>
      <x:c r="C899" s="7" t="n">
        <x:v>95.968884621</x:v>
      </x:c>
      <x:c r="D899" s="7" t="n">
        <x:v>95.968884621</x:v>
      </x:c>
      <x:c r="E899" s="7" t="str">
        <x:v>SYNTHETIC: seeded teaching dataset; not observed market data</x:v>
      </x:c>
      <x:c r="F899" s="7" t="n">
        <x:v>46266</x:v>
      </x:c>
    </x:row>
    <x:row r="900" ht="22" customHeight="1">
      <x:c r="A900" s="8" t="n">
        <x:v>45699</x:v>
      </x:c>
      <x:c r="B900" s="7" t="str">
        <x:v>US_ETF</x:v>
      </x:c>
      <x:c r="C900" s="7" t="n">
        <x:v>95.2190899339</x:v>
      </x:c>
      <x:c r="D900" s="7" t="n">
        <x:v>95.2190899339</x:v>
      </x:c>
      <x:c r="E900" s="7" t="str">
        <x:v>SYNTHETIC: seeded teaching dataset; not observed market data</x:v>
      </x:c>
      <x:c r="F900" s="7" t="n">
        <x:v>46266</x:v>
      </x:c>
    </x:row>
    <x:row r="901" ht="22" customHeight="1">
      <x:c r="A901" s="8" t="n">
        <x:v>45700</x:v>
      </x:c>
      <x:c r="B901" s="7" t="str">
        <x:v>US_ETF</x:v>
      </x:c>
      <x:c r="C901" s="7" t="n">
        <x:v>95.1899883257</x:v>
      </x:c>
      <x:c r="D901" s="7" t="n">
        <x:v>95.1899883257</x:v>
      </x:c>
      <x:c r="E901" s="7" t="str">
        <x:v>SYNTHETIC: seeded teaching dataset; not observed market data</x:v>
      </x:c>
      <x:c r="F901" s="7" t="n">
        <x:v>46266</x:v>
      </x:c>
    </x:row>
    <x:row r="902" ht="22" customHeight="1">
      <x:c r="A902" s="8" t="n">
        <x:v>45701</x:v>
      </x:c>
      <x:c r="B902" s="7" t="str">
        <x:v>US_ETF</x:v>
      </x:c>
      <x:c r="C902" s="7" t="n">
        <x:v>95.2476964578</x:v>
      </x:c>
      <x:c r="D902" s="7" t="n">
        <x:v>95.2476964578</x:v>
      </x:c>
      <x:c r="E902" s="7" t="str">
        <x:v>SYNTHETIC: seeded teaching dataset; not observed market data</x:v>
      </x:c>
      <x:c r="F902" s="7" t="n">
        <x:v>46266</x:v>
      </x:c>
    </x:row>
    <x:row r="903" ht="22" customHeight="1">
      <x:c r="A903" s="8" t="n">
        <x:v>45702</x:v>
      </x:c>
      <x:c r="B903" s="7" t="str">
        <x:v>US_ETF</x:v>
      </x:c>
      <x:c r="C903" s="7" t="n">
        <x:v>94.6455052321</x:v>
      </x:c>
      <x:c r="D903" s="7" t="n">
        <x:v>94.6455052321</x:v>
      </x:c>
      <x:c r="E903" s="7" t="str">
        <x:v>SYNTHETIC: seeded teaching dataset; not observed market data</x:v>
      </x:c>
      <x:c r="F903" s="7" t="n">
        <x:v>46266</x:v>
      </x:c>
    </x:row>
    <x:row r="904" ht="22" customHeight="1">
      <x:c r="A904" s="8" t="n">
        <x:v>45705</x:v>
      </x:c>
      <x:c r="B904" s="7" t="str">
        <x:v>US_ETF</x:v>
      </x:c>
      <x:c r="C904" s="7" t="n">
        <x:v>94.7396065388</x:v>
      </x:c>
      <x:c r="D904" s="7" t="n">
        <x:v>94.7396065388</x:v>
      </x:c>
      <x:c r="E904" s="7" t="str">
        <x:v>SYNTHETIC: seeded teaching dataset; not observed market data</x:v>
      </x:c>
      <x:c r="F904" s="7" t="n">
        <x:v>46266</x:v>
      </x:c>
    </x:row>
    <x:row r="905" ht="22" customHeight="1">
      <x:c r="A905" s="8" t="n">
        <x:v>45706</x:v>
      </x:c>
      <x:c r="B905" s="7" t="str">
        <x:v>US_ETF</x:v>
      </x:c>
      <x:c r="C905" s="7" t="n">
        <x:v>95.3641380198</x:v>
      </x:c>
      <x:c r="D905" s="7" t="n">
        <x:v>95.3641380198</x:v>
      </x:c>
      <x:c r="E905" s="7" t="str">
        <x:v>SYNTHETIC: seeded teaching dataset; not observed market data</x:v>
      </x:c>
      <x:c r="F905" s="7" t="n">
        <x:v>46266</x:v>
      </x:c>
    </x:row>
    <x:row r="906" ht="22" customHeight="1">
      <x:c r="A906" s="8" t="n">
        <x:v>45707</x:v>
      </x:c>
      <x:c r="B906" s="7" t="str">
        <x:v>US_ETF</x:v>
      </x:c>
      <x:c r="C906" s="7" t="n">
        <x:v>95.782415084</x:v>
      </x:c>
      <x:c r="D906" s="7" t="n">
        <x:v>95.782415084</x:v>
      </x:c>
      <x:c r="E906" s="7" t="str">
        <x:v>SYNTHETIC: seeded teaching dataset; not observed market data</x:v>
      </x:c>
      <x:c r="F906" s="7" t="n">
        <x:v>46266</x:v>
      </x:c>
    </x:row>
    <x:row r="907" ht="22" customHeight="1">
      <x:c r="A907" s="8" t="n">
        <x:v>45708</x:v>
      </x:c>
      <x:c r="B907" s="7" t="str">
        <x:v>US_ETF</x:v>
      </x:c>
      <x:c r="C907" s="7" t="n">
        <x:v>95.4547862579</x:v>
      </x:c>
      <x:c r="D907" s="7" t="n">
        <x:v>95.4547862579</x:v>
      </x:c>
      <x:c r="E907" s="7" t="str">
        <x:v>SYNTHETIC: seeded teaching dataset; not observed market data</x:v>
      </x:c>
      <x:c r="F907" s="7" t="n">
        <x:v>46266</x:v>
      </x:c>
    </x:row>
    <x:row r="908" ht="22" customHeight="1">
      <x:c r="A908" s="8" t="n">
        <x:v>45709</x:v>
      </x:c>
      <x:c r="B908" s="7" t="str">
        <x:v>US_ETF</x:v>
      </x:c>
      <x:c r="C908" s="7" t="n">
        <x:v>95.2346599971</x:v>
      </x:c>
      <x:c r="D908" s="7" t="n">
        <x:v>95.2346599971</x:v>
      </x:c>
      <x:c r="E908" s="7" t="str">
        <x:v>SYNTHETIC: seeded teaching dataset; not observed market data</x:v>
      </x:c>
      <x:c r="F908" s="7" t="n">
        <x:v>46266</x:v>
      </x:c>
    </x:row>
    <x:row r="909" ht="22" customHeight="1">
      <x:c r="A909" s="8" t="n">
        <x:v>45712</x:v>
      </x:c>
      <x:c r="B909" s="7" t="str">
        <x:v>US_ETF</x:v>
      </x:c>
      <x:c r="C909" s="7" t="n">
        <x:v>95.6765882556</x:v>
      </x:c>
      <x:c r="D909" s="7" t="n">
        <x:v>95.6765882556</x:v>
      </x:c>
      <x:c r="E909" s="7" t="str">
        <x:v>SYNTHETIC: seeded teaching dataset; not observed market data</x:v>
      </x:c>
      <x:c r="F909" s="7" t="n">
        <x:v>46266</x:v>
      </x:c>
    </x:row>
    <x:row r="910" ht="22" customHeight="1">
      <x:c r="A910" s="8" t="n">
        <x:v>45713</x:v>
      </x:c>
      <x:c r="B910" s="7" t="str">
        <x:v>US_ETF</x:v>
      </x:c>
      <x:c r="C910" s="7" t="n">
        <x:v>95.6670093718</x:v>
      </x:c>
      <x:c r="D910" s="7" t="n">
        <x:v>95.6670093718</x:v>
      </x:c>
      <x:c r="E910" s="7" t="str">
        <x:v>SYNTHETIC: seeded teaching dataset; not observed market data</x:v>
      </x:c>
      <x:c r="F910" s="7" t="n">
        <x:v>46266</x:v>
      </x:c>
    </x:row>
    <x:row r="911" ht="22" customHeight="1">
      <x:c r="A911" s="8" t="n">
        <x:v>45714</x:v>
      </x:c>
      <x:c r="B911" s="7" t="str">
        <x:v>US_ETF</x:v>
      </x:c>
      <x:c r="C911" s="7" t="n">
        <x:v>95.6861444295</x:v>
      </x:c>
      <x:c r="D911" s="7" t="n">
        <x:v>95.6861444295</x:v>
      </x:c>
      <x:c r="E911" s="7" t="str">
        <x:v>SYNTHETIC: seeded teaching dataset; not observed market data</x:v>
      </x:c>
      <x:c r="F911" s="7" t="n">
        <x:v>46266</x:v>
      </x:c>
    </x:row>
    <x:row r="912" ht="22" customHeight="1">
      <x:c r="A912" s="8" t="n">
        <x:v>45715</x:v>
      </x:c>
      <x:c r="B912" s="7" t="str">
        <x:v>US_ETF</x:v>
      </x:c>
      <x:c r="C912" s="7" t="n">
        <x:v>95.7772363284</x:v>
      </x:c>
      <x:c r="D912" s="7" t="n">
        <x:v>95.7772363284</x:v>
      </x:c>
      <x:c r="E912" s="7" t="str">
        <x:v>SYNTHETIC: seeded teaching dataset; not observed market data</x:v>
      </x:c>
      <x:c r="F912" s="7" t="n">
        <x:v>46266</x:v>
      </x:c>
    </x:row>
    <x:row r="913" ht="22" customHeight="1">
      <x:c r="A913" s="8" t="n">
        <x:v>45716</x:v>
      </x:c>
      <x:c r="B913" s="7" t="str">
        <x:v>US_ETF</x:v>
      </x:c>
      <x:c r="C913" s="7" t="n">
        <x:v>95.098007195</x:v>
      </x:c>
      <x:c r="D913" s="7" t="n">
        <x:v>95.098007195</x:v>
      </x:c>
      <x:c r="E913" s="7" t="str">
        <x:v>SYNTHETIC: seeded teaching dataset; not observed market data</x:v>
      </x:c>
      <x:c r="F913" s="7" t="n">
        <x:v>46266</x:v>
      </x:c>
    </x:row>
    <x:row r="914" ht="22" customHeight="1">
      <x:c r="A914" s="8" t="n">
        <x:v>45719</x:v>
      </x:c>
      <x:c r="B914" s="7" t="str">
        <x:v>US_ETF</x:v>
      </x:c>
      <x:c r="C914" s="7" t="n">
        <x:v>95.5699852593</x:v>
      </x:c>
      <x:c r="D914" s="7" t="n">
        <x:v>95.5699852593</x:v>
      </x:c>
      <x:c r="E914" s="7" t="str">
        <x:v>SYNTHETIC: seeded teaching dataset; not observed market data</x:v>
      </x:c>
      <x:c r="F914" s="7" t="n">
        <x:v>46266</x:v>
      </x:c>
    </x:row>
    <x:row r="915" ht="22" customHeight="1">
      <x:c r="A915" s="8" t="n">
        <x:v>45720</x:v>
      </x:c>
      <x:c r="B915" s="7" t="str">
        <x:v>US_ETF</x:v>
      </x:c>
      <x:c r="C915" s="7" t="n">
        <x:v>95.8620912302</x:v>
      </x:c>
      <x:c r="D915" s="7" t="n">
        <x:v>95.8620912302</x:v>
      </x:c>
      <x:c r="E915" s="7" t="str">
        <x:v>SYNTHETIC: seeded teaching dataset; not observed market data</x:v>
      </x:c>
      <x:c r="F915" s="7" t="n">
        <x:v>46266</x:v>
      </x:c>
    </x:row>
    <x:row r="916" ht="22" customHeight="1">
      <x:c r="A916" s="8" t="n">
        <x:v>45721</x:v>
      </x:c>
      <x:c r="B916" s="7" t="str">
        <x:v>US_ETF</x:v>
      </x:c>
      <x:c r="C916" s="7" t="n">
        <x:v>95.9016876063</x:v>
      </x:c>
      <x:c r="D916" s="7" t="n">
        <x:v>95.9016876063</x:v>
      </x:c>
      <x:c r="E916" s="7" t="str">
        <x:v>SYNTHETIC: seeded teaching dataset; not observed market data</x:v>
      </x:c>
      <x:c r="F916" s="7" t="n">
        <x:v>46266</x:v>
      </x:c>
    </x:row>
    <x:row r="917" ht="22" customHeight="1">
      <x:c r="A917" s="8" t="n">
        <x:v>45722</x:v>
      </x:c>
      <x:c r="B917" s="7" t="str">
        <x:v>US_ETF</x:v>
      </x:c>
      <x:c r="C917" s="7" t="n">
        <x:v>95.8326009718</x:v>
      </x:c>
      <x:c r="D917" s="7" t="n">
        <x:v>95.8326009718</x:v>
      </x:c>
      <x:c r="E917" s="7" t="str">
        <x:v>SYNTHETIC: seeded teaching dataset; not observed market data</x:v>
      </x:c>
      <x:c r="F917" s="7" t="n">
        <x:v>46266</x:v>
      </x:c>
    </x:row>
    <x:row r="918" ht="22" customHeight="1">
      <x:c r="A918" s="8" t="n">
        <x:v>45723</x:v>
      </x:c>
      <x:c r="B918" s="7" t="str">
        <x:v>US_ETF</x:v>
      </x:c>
      <x:c r="C918" s="7" t="n">
        <x:v>95.9071793471</x:v>
      </x:c>
      <x:c r="D918" s="7" t="n">
        <x:v>95.9071793471</x:v>
      </x:c>
      <x:c r="E918" s="7" t="str">
        <x:v>SYNTHETIC: seeded teaching dataset; not observed market data</x:v>
      </x:c>
      <x:c r="F918" s="7" t="n">
        <x:v>46266</x:v>
      </x:c>
    </x:row>
    <x:row r="919" ht="22" customHeight="1">
      <x:c r="A919" s="8" t="n">
        <x:v>45726</x:v>
      </x:c>
      <x:c r="B919" s="7" t="str">
        <x:v>US_ETF</x:v>
      </x:c>
      <x:c r="C919" s="7" t="n">
        <x:v>96.0452251199</x:v>
      </x:c>
      <x:c r="D919" s="7" t="n">
        <x:v>96.0452251199</x:v>
      </x:c>
      <x:c r="E919" s="7" t="str">
        <x:v>SYNTHETIC: seeded teaching dataset; not observed market data</x:v>
      </x:c>
      <x:c r="F919" s="7" t="n">
        <x:v>46266</x:v>
      </x:c>
    </x:row>
    <x:row r="920" ht="22" customHeight="1">
      <x:c r="A920" s="8" t="n">
        <x:v>45727</x:v>
      </x:c>
      <x:c r="B920" s="7" t="str">
        <x:v>US_ETF</x:v>
      </x:c>
      <x:c r="C920" s="7" t="n">
        <x:v>95.8755913097</x:v>
      </x:c>
      <x:c r="D920" s="7" t="n">
        <x:v>95.8755913097</x:v>
      </x:c>
      <x:c r="E920" s="7" t="str">
        <x:v>SYNTHETIC: seeded teaching dataset; not observed market data</x:v>
      </x:c>
      <x:c r="F920" s="7" t="n">
        <x:v>46266</x:v>
      </x:c>
    </x:row>
    <x:row r="921" ht="22" customHeight="1">
      <x:c r="A921" s="8" t="n">
        <x:v>45728</x:v>
      </x:c>
      <x:c r="B921" s="7" t="str">
        <x:v>US_ETF</x:v>
      </x:c>
      <x:c r="C921" s="7" t="n">
        <x:v>95.8743403273</x:v>
      </x:c>
      <x:c r="D921" s="7" t="n">
        <x:v>95.8743403273</x:v>
      </x:c>
      <x:c r="E921" s="7" t="str">
        <x:v>SYNTHETIC: seeded teaching dataset; not observed market data</x:v>
      </x:c>
      <x:c r="F921" s="7" t="n">
        <x:v>46266</x:v>
      </x:c>
    </x:row>
    <x:row r="922" ht="22" customHeight="1">
      <x:c r="A922" s="8" t="n">
        <x:v>45729</x:v>
      </x:c>
      <x:c r="B922" s="7" t="str">
        <x:v>US_ETF</x:v>
      </x:c>
      <x:c r="C922" s="7" t="n">
        <x:v>95.373527452</x:v>
      </x:c>
      <x:c r="D922" s="7" t="n">
        <x:v>95.373527452</x:v>
      </x:c>
      <x:c r="E922" s="7" t="str">
        <x:v>SYNTHETIC: seeded teaching dataset; not observed market data</x:v>
      </x:c>
      <x:c r="F922" s="7" t="n">
        <x:v>46266</x:v>
      </x:c>
    </x:row>
    <x:row r="923" ht="22" customHeight="1">
      <x:c r="A923" s="8" t="n">
        <x:v>45730</x:v>
      </x:c>
      <x:c r="B923" s="7" t="str">
        <x:v>US_ETF</x:v>
      </x:c>
      <x:c r="C923" s="7" t="n">
        <x:v>95.7110262373</x:v>
      </x:c>
      <x:c r="D923" s="7" t="n">
        <x:v>95.7110262373</x:v>
      </x:c>
      <x:c r="E923" s="7" t="str">
        <x:v>SYNTHETIC: seeded teaching dataset; not observed market data</x:v>
      </x:c>
      <x:c r="F923" s="7" t="n">
        <x:v>46266</x:v>
      </x:c>
    </x:row>
    <x:row r="924" ht="22" customHeight="1">
      <x:c r="A924" s="8" t="n">
        <x:v>45733</x:v>
      </x:c>
      <x:c r="B924" s="7" t="str">
        <x:v>US_ETF</x:v>
      </x:c>
      <x:c r="C924" s="7" t="n">
        <x:v>94.8756256129</x:v>
      </x:c>
      <x:c r="D924" s="7" t="n">
        <x:v>94.8756256129</x:v>
      </x:c>
      <x:c r="E924" s="7" t="str">
        <x:v>SYNTHETIC: seeded teaching dataset; not observed market data</x:v>
      </x:c>
      <x:c r="F924" s="7" t="n">
        <x:v>46266</x:v>
      </x:c>
    </x:row>
    <x:row r="925" ht="22" customHeight="1">
      <x:c r="A925" s="8" t="n">
        <x:v>45734</x:v>
      </x:c>
      <x:c r="B925" s="7" t="str">
        <x:v>US_ETF</x:v>
      </x:c>
      <x:c r="C925" s="7" t="n">
        <x:v>94.6341635641</x:v>
      </x:c>
      <x:c r="D925" s="7" t="n">
        <x:v>94.6341635641</x:v>
      </x:c>
      <x:c r="E925" s="7" t="str">
        <x:v>SYNTHETIC: seeded teaching dataset; not observed market data</x:v>
      </x:c>
      <x:c r="F925" s="7" t="n">
        <x:v>46266</x:v>
      </x:c>
    </x:row>
    <x:row r="926" ht="22" customHeight="1">
      <x:c r="A926" s="8" t="n">
        <x:v>45735</x:v>
      </x:c>
      <x:c r="B926" s="7" t="str">
        <x:v>US_ETF</x:v>
      </x:c>
      <x:c r="C926" s="7" t="n">
        <x:v>94.9482471793</x:v>
      </x:c>
      <x:c r="D926" s="7" t="n">
        <x:v>94.9482471793</x:v>
      </x:c>
      <x:c r="E926" s="7" t="str">
        <x:v>SYNTHETIC: seeded teaching dataset; not observed market data</x:v>
      </x:c>
      <x:c r="F926" s="7" t="n">
        <x:v>46266</x:v>
      </x:c>
    </x:row>
    <x:row r="927" ht="22" customHeight="1">
      <x:c r="A927" s="8" t="n">
        <x:v>45736</x:v>
      </x:c>
      <x:c r="B927" s="7" t="str">
        <x:v>US_ETF</x:v>
      </x:c>
      <x:c r="C927" s="7" t="n">
        <x:v>94.6909604179</x:v>
      </x:c>
      <x:c r="D927" s="7" t="n">
        <x:v>94.6909604179</x:v>
      </x:c>
      <x:c r="E927" s="7" t="str">
        <x:v>SYNTHETIC: seeded teaching dataset; not observed market data</x:v>
      </x:c>
      <x:c r="F927" s="7" t="n">
        <x:v>46266</x:v>
      </x:c>
    </x:row>
    <x:row r="928" ht="22" customHeight="1">
      <x:c r="A928" s="8" t="n">
        <x:v>45737</x:v>
      </x:c>
      <x:c r="B928" s="7" t="str">
        <x:v>US_ETF</x:v>
      </x:c>
      <x:c r="C928" s="7" t="n">
        <x:v>95.1112463629</x:v>
      </x:c>
      <x:c r="D928" s="7" t="n">
        <x:v>95.1112463629</x:v>
      </x:c>
      <x:c r="E928" s="7" t="str">
        <x:v>SYNTHETIC: seeded teaching dataset; not observed market data</x:v>
      </x:c>
      <x:c r="F928" s="7" t="n">
        <x:v>46266</x:v>
      </x:c>
    </x:row>
    <x:row r="929" ht="22" customHeight="1">
      <x:c r="A929" s="8" t="n">
        <x:v>45740</x:v>
      </x:c>
      <x:c r="B929" s="7" t="str">
        <x:v>US_ETF</x:v>
      </x:c>
      <x:c r="C929" s="7" t="n">
        <x:v>95.0752711761</x:v>
      </x:c>
      <x:c r="D929" s="7" t="n">
        <x:v>95.0752711761</x:v>
      </x:c>
      <x:c r="E929" s="7" t="str">
        <x:v>SYNTHETIC: seeded teaching dataset; not observed market data</x:v>
      </x:c>
      <x:c r="F929" s="7" t="n">
        <x:v>46266</x:v>
      </x:c>
    </x:row>
    <x:row r="930" ht="22" customHeight="1">
      <x:c r="A930" s="8" t="n">
        <x:v>45741</x:v>
      </x:c>
      <x:c r="B930" s="7" t="str">
        <x:v>US_ETF</x:v>
      </x:c>
      <x:c r="C930" s="7" t="n">
        <x:v>94.7714565963</x:v>
      </x:c>
      <x:c r="D930" s="7" t="n">
        <x:v>94.7714565963</x:v>
      </x:c>
      <x:c r="E930" s="7" t="str">
        <x:v>SYNTHETIC: seeded teaching dataset; not observed market data</x:v>
      </x:c>
      <x:c r="F930" s="7" t="n">
        <x:v>46266</x:v>
      </x:c>
    </x:row>
    <x:row r="931" ht="22" customHeight="1">
      <x:c r="A931" s="8" t="n">
        <x:v>45742</x:v>
      </x:c>
      <x:c r="B931" s="7" t="str">
        <x:v>US_ETF</x:v>
      </x:c>
      <x:c r="C931" s="7" t="n">
        <x:v>95.0033912005</x:v>
      </x:c>
      <x:c r="D931" s="7" t="n">
        <x:v>95.0033912005</x:v>
      </x:c>
      <x:c r="E931" s="7" t="str">
        <x:v>SYNTHETIC: seeded teaching dataset; not observed market data</x:v>
      </x:c>
      <x:c r="F931" s="7" t="n">
        <x:v>46266</x:v>
      </x:c>
    </x:row>
    <x:row r="932" ht="22" customHeight="1">
      <x:c r="A932" s="8" t="n">
        <x:v>45743</x:v>
      </x:c>
      <x:c r="B932" s="7" t="str">
        <x:v>US_ETF</x:v>
      </x:c>
      <x:c r="C932" s="7" t="n">
        <x:v>94.9560121156</x:v>
      </x:c>
      <x:c r="D932" s="7" t="n">
        <x:v>94.9560121156</x:v>
      </x:c>
      <x:c r="E932" s="7" t="str">
        <x:v>SYNTHETIC: seeded teaching dataset; not observed market data</x:v>
      </x:c>
      <x:c r="F932" s="7" t="n">
        <x:v>46266</x:v>
      </x:c>
    </x:row>
    <x:row r="933" ht="22" customHeight="1">
      <x:c r="A933" s="8" t="n">
        <x:v>45744</x:v>
      </x:c>
      <x:c r="B933" s="7" t="str">
        <x:v>US_ETF</x:v>
      </x:c>
      <x:c r="C933" s="7" t="n">
        <x:v>95.2802417232</x:v>
      </x:c>
      <x:c r="D933" s="7" t="n">
        <x:v>95.2802417232</x:v>
      </x:c>
      <x:c r="E933" s="7" t="str">
        <x:v>SYNTHETIC: seeded teaching dataset; not observed market data</x:v>
      </x:c>
      <x:c r="F933" s="7" t="n">
        <x:v>46266</x:v>
      </x:c>
    </x:row>
    <x:row r="934" ht="22" customHeight="1">
      <x:c r="A934" s="8" t="n">
        <x:v>45747</x:v>
      </x:c>
      <x:c r="B934" s="7" t="str">
        <x:v>US_ETF</x:v>
      </x:c>
      <x:c r="C934" s="7" t="n">
        <x:v>95.8293158001</x:v>
      </x:c>
      <x:c r="D934" s="7" t="n">
        <x:v>95.8293158001</x:v>
      </x:c>
      <x:c r="E934" s="7" t="str">
        <x:v>SYNTHETIC: seeded teaching dataset; not observed market data</x:v>
      </x:c>
      <x:c r="F934" s="7" t="n">
        <x:v>46266</x:v>
      </x:c>
    </x:row>
    <x:row r="935" ht="22" customHeight="1">
      <x:c r="A935" s="8" t="n">
        <x:v>45748</x:v>
      </x:c>
      <x:c r="B935" s="7" t="str">
        <x:v>US_ETF</x:v>
      </x:c>
      <x:c r="C935" s="7" t="n">
        <x:v>96.145232535</x:v>
      </x:c>
      <x:c r="D935" s="7" t="n">
        <x:v>96.145232535</x:v>
      </x:c>
      <x:c r="E935" s="7" t="str">
        <x:v>SYNTHETIC: seeded teaching dataset; not observed market data</x:v>
      </x:c>
      <x:c r="F935" s="7" t="n">
        <x:v>46266</x:v>
      </x:c>
    </x:row>
    <x:row r="936" ht="22" customHeight="1">
      <x:c r="A936" s="8" t="n">
        <x:v>45749</x:v>
      </x:c>
      <x:c r="B936" s="7" t="str">
        <x:v>US_ETF</x:v>
      </x:c>
      <x:c r="C936" s="7" t="n">
        <x:v>96.1896004444</x:v>
      </x:c>
      <x:c r="D936" s="7" t="n">
        <x:v>96.1896004444</x:v>
      </x:c>
      <x:c r="E936" s="7" t="str">
        <x:v>SYNTHETIC: seeded teaching dataset; not observed market data</x:v>
      </x:c>
      <x:c r="F936" s="7" t="n">
        <x:v>46266</x:v>
      </x:c>
    </x:row>
    <x:row r="937" ht="22" customHeight="1">
      <x:c r="A937" s="8" t="n">
        <x:v>45750</x:v>
      </x:c>
      <x:c r="B937" s="7" t="str">
        <x:v>US_ETF</x:v>
      </x:c>
      <x:c r="C937" s="7" t="n">
        <x:v>95.4894601543</x:v>
      </x:c>
      <x:c r="D937" s="7" t="n">
        <x:v>95.4894601543</x:v>
      </x:c>
      <x:c r="E937" s="7" t="str">
        <x:v>SYNTHETIC: seeded teaching dataset; not observed market data</x:v>
      </x:c>
      <x:c r="F937" s="7" t="n">
        <x:v>46266</x:v>
      </x:c>
    </x:row>
    <x:row r="938" ht="22" customHeight="1">
      <x:c r="A938" s="8" t="n">
        <x:v>45751</x:v>
      </x:c>
      <x:c r="B938" s="7" t="str">
        <x:v>US_ETF</x:v>
      </x:c>
      <x:c r="C938" s="7" t="n">
        <x:v>95.3236875867</x:v>
      </x:c>
      <x:c r="D938" s="7" t="n">
        <x:v>95.3236875867</x:v>
      </x:c>
      <x:c r="E938" s="7" t="str">
        <x:v>SYNTHETIC: seeded teaching dataset; not observed market data</x:v>
      </x:c>
      <x:c r="F938" s="7" t="n">
        <x:v>46266</x:v>
      </x:c>
    </x:row>
    <x:row r="939" ht="22" customHeight="1">
      <x:c r="A939" s="8" t="n">
        <x:v>45754</x:v>
      </x:c>
      <x:c r="B939" s="7" t="str">
        <x:v>US_ETF</x:v>
      </x:c>
      <x:c r="C939" s="7" t="n">
        <x:v>95.5901334932</x:v>
      </x:c>
      <x:c r="D939" s="7" t="n">
        <x:v>95.5901334932</x:v>
      </x:c>
      <x:c r="E939" s="7" t="str">
        <x:v>SYNTHETIC: seeded teaching dataset; not observed market data</x:v>
      </x:c>
      <x:c r="F939" s="7" t="n">
        <x:v>46266</x:v>
      </x:c>
    </x:row>
    <x:row r="940" ht="22" customHeight="1">
      <x:c r="A940" s="8" t="n">
        <x:v>45755</x:v>
      </x:c>
      <x:c r="B940" s="7" t="str">
        <x:v>US_ETF</x:v>
      </x:c>
      <x:c r="C940" s="7" t="n">
        <x:v>95.4839429112</x:v>
      </x:c>
      <x:c r="D940" s="7" t="n">
        <x:v>95.4839429112</x:v>
      </x:c>
      <x:c r="E940" s="7" t="str">
        <x:v>SYNTHETIC: seeded teaching dataset; not observed market data</x:v>
      </x:c>
      <x:c r="F940" s="7" t="n">
        <x:v>46266</x:v>
      </x:c>
    </x:row>
    <x:row r="941" ht="22" customHeight="1">
      <x:c r="A941" s="8" t="n">
        <x:v>45756</x:v>
      </x:c>
      <x:c r="B941" s="7" t="str">
        <x:v>US_ETF</x:v>
      </x:c>
      <x:c r="C941" s="7" t="n">
        <x:v>95.5839686521</x:v>
      </x:c>
      <x:c r="D941" s="7" t="n">
        <x:v>95.5839686521</x:v>
      </x:c>
      <x:c r="E941" s="7" t="str">
        <x:v>SYNTHETIC: seeded teaching dataset; not observed market data</x:v>
      </x:c>
      <x:c r="F941" s="7" t="n">
        <x:v>46266</x:v>
      </x:c>
    </x:row>
    <x:row r="942" ht="22" customHeight="1">
      <x:c r="A942" s="8" t="n">
        <x:v>45757</x:v>
      </x:c>
      <x:c r="B942" s="7" t="str">
        <x:v>US_ETF</x:v>
      </x:c>
      <x:c r="C942" s="7" t="n">
        <x:v>95.5709989207</x:v>
      </x:c>
      <x:c r="D942" s="7" t="n">
        <x:v>95.5709989207</x:v>
      </x:c>
      <x:c r="E942" s="7" t="str">
        <x:v>SYNTHETIC: seeded teaching dataset; not observed market data</x:v>
      </x:c>
      <x:c r="F942" s="7" t="n">
        <x:v>46266</x:v>
      </x:c>
    </x:row>
    <x:row r="943" ht="22" customHeight="1">
      <x:c r="A943" s="8" t="n">
        <x:v>45758</x:v>
      </x:c>
      <x:c r="B943" s="7" t="str">
        <x:v>US_ETF</x:v>
      </x:c>
      <x:c r="C943" s="7" t="n">
        <x:v>95.8313471015</x:v>
      </x:c>
      <x:c r="D943" s="7" t="n">
        <x:v>95.8313471015</x:v>
      </x:c>
      <x:c r="E943" s="7" t="str">
        <x:v>SYNTHETIC: seeded teaching dataset; not observed market data</x:v>
      </x:c>
      <x:c r="F943" s="7" t="n">
        <x:v>46266</x:v>
      </x:c>
    </x:row>
    <x:row r="944" ht="22" customHeight="1">
      <x:c r="A944" s="8" t="n">
        <x:v>45761</x:v>
      </x:c>
      <x:c r="B944" s="7" t="str">
        <x:v>US_ETF</x:v>
      </x:c>
      <x:c r="C944" s="7" t="n">
        <x:v>95.7987281828</x:v>
      </x:c>
      <x:c r="D944" s="7" t="n">
        <x:v>95.7987281828</x:v>
      </x:c>
      <x:c r="E944" s="7" t="str">
        <x:v>SYNTHETIC: seeded teaching dataset; not observed market data</x:v>
      </x:c>
      <x:c r="F944" s="7" t="n">
        <x:v>46266</x:v>
      </x:c>
    </x:row>
    <x:row r="945" ht="22" customHeight="1">
      <x:c r="A945" s="8" t="n">
        <x:v>45762</x:v>
      </x:c>
      <x:c r="B945" s="7" t="str">
        <x:v>US_ETF</x:v>
      </x:c>
      <x:c r="C945" s="7" t="n">
        <x:v>95.0614914123</x:v>
      </x:c>
      <x:c r="D945" s="7" t="n">
        <x:v>95.0614914123</x:v>
      </x:c>
      <x:c r="E945" s="7" t="str">
        <x:v>SYNTHETIC: seeded teaching dataset; not observed market data</x:v>
      </x:c>
      <x:c r="F945" s="7" t="n">
        <x:v>46266</x:v>
      </x:c>
    </x:row>
    <x:row r="946" ht="22" customHeight="1">
      <x:c r="A946" s="8" t="n">
        <x:v>45763</x:v>
      </x:c>
      <x:c r="B946" s="7" t="str">
        <x:v>US_ETF</x:v>
      </x:c>
      <x:c r="C946" s="7" t="n">
        <x:v>95.0390826372</x:v>
      </x:c>
      <x:c r="D946" s="7" t="n">
        <x:v>95.0390826372</x:v>
      </x:c>
      <x:c r="E946" s="7" t="str">
        <x:v>SYNTHETIC: seeded teaching dataset; not observed market data</x:v>
      </x:c>
      <x:c r="F946" s="7" t="n">
        <x:v>46266</x:v>
      </x:c>
    </x:row>
    <x:row r="947" ht="22" customHeight="1">
      <x:c r="A947" s="8" t="n">
        <x:v>45764</x:v>
      </x:c>
      <x:c r="B947" s="7" t="str">
        <x:v>US_ETF</x:v>
      </x:c>
      <x:c r="C947" s="7" t="n">
        <x:v>95.1462303788</x:v>
      </x:c>
      <x:c r="D947" s="7" t="n">
        <x:v>95.1462303788</x:v>
      </x:c>
      <x:c r="E947" s="7" t="str">
        <x:v>SYNTHETIC: seeded teaching dataset; not observed market data</x:v>
      </x:c>
      <x:c r="F947" s="7" t="n">
        <x:v>46266</x:v>
      </x:c>
    </x:row>
    <x:row r="948" ht="22" customHeight="1">
      <x:c r="A948" s="8" t="n">
        <x:v>45765</x:v>
      </x:c>
      <x:c r="B948" s="7" t="str">
        <x:v>US_ETF</x:v>
      </x:c>
      <x:c r="C948" s="7" t="n">
        <x:v>94.8218815621</x:v>
      </x:c>
      <x:c r="D948" s="7" t="n">
        <x:v>94.8218815621</x:v>
      </x:c>
      <x:c r="E948" s="7" t="str">
        <x:v>SYNTHETIC: seeded teaching dataset; not observed market data</x:v>
      </x:c>
      <x:c r="F948" s="7" t="n">
        <x:v>46266</x:v>
      </x:c>
    </x:row>
    <x:row r="949" ht="22" customHeight="1">
      <x:c r="A949" s="8" t="n">
        <x:v>45768</x:v>
      </x:c>
      <x:c r="B949" s="7" t="str">
        <x:v>US_ETF</x:v>
      </x:c>
      <x:c r="C949" s="7" t="n">
        <x:v>95.0861047312</x:v>
      </x:c>
      <x:c r="D949" s="7" t="n">
        <x:v>95.0861047312</x:v>
      </x:c>
      <x:c r="E949" s="7" t="str">
        <x:v>SYNTHETIC: seeded teaching dataset; not observed market data</x:v>
      </x:c>
      <x:c r="F949" s="7" t="n">
        <x:v>46266</x:v>
      </x:c>
    </x:row>
    <x:row r="950" ht="22" customHeight="1">
      <x:c r="A950" s="8" t="n">
        <x:v>45769</x:v>
      </x:c>
      <x:c r="B950" s="7" t="str">
        <x:v>US_ETF</x:v>
      </x:c>
      <x:c r="C950" s="7" t="n">
        <x:v>94.9205534196</x:v>
      </x:c>
      <x:c r="D950" s="7" t="n">
        <x:v>94.9205534196</x:v>
      </x:c>
      <x:c r="E950" s="7" t="str">
        <x:v>SYNTHETIC: seeded teaching dataset; not observed market data</x:v>
      </x:c>
      <x:c r="F950" s="7" t="n">
        <x:v>46266</x:v>
      </x:c>
    </x:row>
    <x:row r="951" ht="22" customHeight="1">
      <x:c r="A951" s="8" t="n">
        <x:v>45770</x:v>
      </x:c>
      <x:c r="B951" s="7" t="str">
        <x:v>US_ETF</x:v>
      </x:c>
      <x:c r="C951" s="7" t="n">
        <x:v>95.0028636426</x:v>
      </x:c>
      <x:c r="D951" s="7" t="n">
        <x:v>95.0028636426</x:v>
      </x:c>
      <x:c r="E951" s="7" t="str">
        <x:v>SYNTHETIC: seeded teaching dataset; not observed market data</x:v>
      </x:c>
      <x:c r="F951" s="7" t="n">
        <x:v>46266</x:v>
      </x:c>
    </x:row>
    <x:row r="952" ht="22" customHeight="1">
      <x:c r="A952" s="8" t="n">
        <x:v>45771</x:v>
      </x:c>
      <x:c r="B952" s="7" t="str">
        <x:v>US_ETF</x:v>
      </x:c>
      <x:c r="C952" s="7" t="n">
        <x:v>95.2968520047</x:v>
      </x:c>
      <x:c r="D952" s="7" t="n">
        <x:v>95.2968520047</x:v>
      </x:c>
      <x:c r="E952" s="7" t="str">
        <x:v>SYNTHETIC: seeded teaching dataset; not observed market data</x:v>
      </x:c>
      <x:c r="F952" s="7" t="n">
        <x:v>46266</x:v>
      </x:c>
    </x:row>
    <x:row r="953" ht="22" customHeight="1">
      <x:c r="A953" s="8" t="n">
        <x:v>45772</x:v>
      </x:c>
      <x:c r="B953" s="7" t="str">
        <x:v>US_ETF</x:v>
      </x:c>
      <x:c r="C953" s="7" t="n">
        <x:v>95.2303626371</x:v>
      </x:c>
      <x:c r="D953" s="7" t="n">
        <x:v>95.2303626371</x:v>
      </x:c>
      <x:c r="E953" s="7" t="str">
        <x:v>SYNTHETIC: seeded teaching dataset; not observed market data</x:v>
      </x:c>
      <x:c r="F953" s="7" t="n">
        <x:v>46266</x:v>
      </x:c>
    </x:row>
    <x:row r="954" ht="22" customHeight="1">
      <x:c r="A954" s="8" t="n">
        <x:v>45775</x:v>
      </x:c>
      <x:c r="B954" s="7" t="str">
        <x:v>US_ETF</x:v>
      </x:c>
      <x:c r="C954" s="7" t="n">
        <x:v>94.9938969027</x:v>
      </x:c>
      <x:c r="D954" s="7" t="n">
        <x:v>94.9938969027</x:v>
      </x:c>
      <x:c r="E954" s="7" t="str">
        <x:v>SYNTHETIC: seeded teaching dataset; not observed market data</x:v>
      </x:c>
      <x:c r="F954" s="7" t="n">
        <x:v>46266</x:v>
      </x:c>
    </x:row>
    <x:row r="955" ht="22" customHeight="1">
      <x:c r="A955" s="8" t="n">
        <x:v>45776</x:v>
      </x:c>
      <x:c r="B955" s="7" t="str">
        <x:v>US_ETF</x:v>
      </x:c>
      <x:c r="C955" s="7" t="n">
        <x:v>95.3747695071</x:v>
      </x:c>
      <x:c r="D955" s="7" t="n">
        <x:v>95.3747695071</x:v>
      </x:c>
      <x:c r="E955" s="7" t="str">
        <x:v>SYNTHETIC: seeded teaching dataset; not observed market data</x:v>
      </x:c>
      <x:c r="F955" s="7" t="n">
        <x:v>46266</x:v>
      </x:c>
    </x:row>
    <x:row r="956" ht="22" customHeight="1">
      <x:c r="A956" s="8" t="n">
        <x:v>45777</x:v>
      </x:c>
      <x:c r="B956" s="7" t="str">
        <x:v>US_ETF</x:v>
      </x:c>
      <x:c r="C956" s="7" t="n">
        <x:v>95.2733275342</x:v>
      </x:c>
      <x:c r="D956" s="7" t="n">
        <x:v>95.2733275342</x:v>
      </x:c>
      <x:c r="E956" s="7" t="str">
        <x:v>SYNTHETIC: seeded teaching dataset; not observed market data</x:v>
      </x:c>
      <x:c r="F956" s="7" t="n">
        <x:v>46266</x:v>
      </x:c>
    </x:row>
    <x:row r="957" ht="22" customHeight="1">
      <x:c r="A957" s="8" t="n">
        <x:v>45778</x:v>
      </x:c>
      <x:c r="B957" s="7" t="str">
        <x:v>US_ETF</x:v>
      </x:c>
      <x:c r="C957" s="7" t="n">
        <x:v>95.5403734367</x:v>
      </x:c>
      <x:c r="D957" s="7" t="n">
        <x:v>95.5403734367</x:v>
      </x:c>
      <x:c r="E957" s="7" t="str">
        <x:v>SYNTHETIC: seeded teaching dataset; not observed market data</x:v>
      </x:c>
      <x:c r="F957" s="7" t="n">
        <x:v>46266</x:v>
      </x:c>
    </x:row>
    <x:row r="958" ht="22" customHeight="1">
      <x:c r="A958" s="8" t="n">
        <x:v>45779</x:v>
      </x:c>
      <x:c r="B958" s="7" t="str">
        <x:v>US_ETF</x:v>
      </x:c>
      <x:c r="C958" s="7" t="n">
        <x:v>95.6391750235</x:v>
      </x:c>
      <x:c r="D958" s="7" t="n">
        <x:v>95.6391750235</x:v>
      </x:c>
      <x:c r="E958" s="7" t="str">
        <x:v>SYNTHETIC: seeded teaching dataset; not observed market data</x:v>
      </x:c>
      <x:c r="F958" s="7" t="n">
        <x:v>46266</x:v>
      </x:c>
    </x:row>
    <x:row r="959" ht="22" customHeight="1">
      <x:c r="A959" s="8" t="n">
        <x:v>45782</x:v>
      </x:c>
      <x:c r="B959" s="7" t="str">
        <x:v>US_ETF</x:v>
      </x:c>
      <x:c r="C959" s="7" t="n">
        <x:v>95.2575957805</x:v>
      </x:c>
      <x:c r="D959" s="7" t="n">
        <x:v>95.2575957805</x:v>
      </x:c>
      <x:c r="E959" s="7" t="str">
        <x:v>SYNTHETIC: seeded teaching dataset; not observed market data</x:v>
      </x:c>
      <x:c r="F959" s="7" t="n">
        <x:v>46266</x:v>
      </x:c>
    </x:row>
    <x:row r="960" ht="22" customHeight="1">
      <x:c r="A960" s="8" t="n">
        <x:v>45783</x:v>
      </x:c>
      <x:c r="B960" s="7" t="str">
        <x:v>US_ETF</x:v>
      </x:c>
      <x:c r="C960" s="7" t="n">
        <x:v>95.1875545745</x:v>
      </x:c>
      <x:c r="D960" s="7" t="n">
        <x:v>95.1875545745</x:v>
      </x:c>
      <x:c r="E960" s="7" t="str">
        <x:v>SYNTHETIC: seeded teaching dataset; not observed market data</x:v>
      </x:c>
      <x:c r="F960" s="7" t="n">
        <x:v>46266</x:v>
      </x:c>
    </x:row>
    <x:row r="961" ht="22" customHeight="1">
      <x:c r="A961" s="8" t="n">
        <x:v>45784</x:v>
      </x:c>
      <x:c r="B961" s="7" t="str">
        <x:v>US_ETF</x:v>
      </x:c>
      <x:c r="C961" s="7" t="n">
        <x:v>95.4429344813</x:v>
      </x:c>
      <x:c r="D961" s="7" t="n">
        <x:v>95.4429344813</x:v>
      </x:c>
      <x:c r="E961" s="7" t="str">
        <x:v>SYNTHETIC: seeded teaching dataset; not observed market data</x:v>
      </x:c>
      <x:c r="F961" s="7" t="n">
        <x:v>46266</x:v>
      </x:c>
    </x:row>
    <x:row r="962" ht="22" customHeight="1">
      <x:c r="A962" s="8" t="n">
        <x:v>45785</x:v>
      </x:c>
      <x:c r="B962" s="7" t="str">
        <x:v>US_ETF</x:v>
      </x:c>
      <x:c r="C962" s="7" t="n">
        <x:v>94.983911414</x:v>
      </x:c>
      <x:c r="D962" s="7" t="n">
        <x:v>94.983911414</x:v>
      </x:c>
      <x:c r="E962" s="7" t="str">
        <x:v>SYNTHETIC: seeded teaching dataset; not observed market data</x:v>
      </x:c>
      <x:c r="F962" s="7" t="n">
        <x:v>46266</x:v>
      </x:c>
    </x:row>
    <x:row r="963" ht="22" customHeight="1">
      <x:c r="A963" s="8" t="n">
        <x:v>45786</x:v>
      </x:c>
      <x:c r="B963" s="7" t="str">
        <x:v>US_ETF</x:v>
      </x:c>
      <x:c r="C963" s="7" t="n">
        <x:v>94.9615646843</x:v>
      </x:c>
      <x:c r="D963" s="7" t="n">
        <x:v>94.9615646843</x:v>
      </x:c>
      <x:c r="E963" s="7" t="str">
        <x:v>SYNTHETIC: seeded teaching dataset; not observed market data</x:v>
      </x:c>
      <x:c r="F963" s="7" t="n">
        <x:v>46266</x:v>
      </x:c>
    </x:row>
    <x:row r="964" ht="22" customHeight="1">
      <x:c r="A964" s="8" t="n">
        <x:v>45789</x:v>
      </x:c>
      <x:c r="B964" s="7" t="str">
        <x:v>US_ETF</x:v>
      </x:c>
      <x:c r="C964" s="7" t="n">
        <x:v>94.8093871175</x:v>
      </x:c>
      <x:c r="D964" s="7" t="n">
        <x:v>94.8093871175</x:v>
      </x:c>
      <x:c r="E964" s="7" t="str">
        <x:v>SYNTHETIC: seeded teaching dataset; not observed market data</x:v>
      </x:c>
      <x:c r="F964" s="7" t="n">
        <x:v>46266</x:v>
      </x:c>
    </x:row>
    <x:row r="965" ht="22" customHeight="1">
      <x:c r="A965" s="8" t="n">
        <x:v>45790</x:v>
      </x:c>
      <x:c r="B965" s="7" t="str">
        <x:v>US_ETF</x:v>
      </x:c>
      <x:c r="C965" s="7" t="n">
        <x:v>94.8537422037</x:v>
      </x:c>
      <x:c r="D965" s="7" t="n">
        <x:v>94.8537422037</x:v>
      </x:c>
      <x:c r="E965" s="7" t="str">
        <x:v>SYNTHETIC: seeded teaching dataset; not observed market data</x:v>
      </x:c>
      <x:c r="F965" s="7" t="n">
        <x:v>46266</x:v>
      </x:c>
    </x:row>
    <x:row r="966" ht="22" customHeight="1">
      <x:c r="A966" s="8" t="n">
        <x:v>45791</x:v>
      </x:c>
      <x:c r="B966" s="7" t="str">
        <x:v>US_ETF</x:v>
      </x:c>
      <x:c r="C966" s="7" t="n">
        <x:v>94.7183194683</x:v>
      </x:c>
      <x:c r="D966" s="7" t="n">
        <x:v>94.7183194683</x:v>
      </x:c>
      <x:c r="E966" s="7" t="str">
        <x:v>SYNTHETIC: seeded teaching dataset; not observed market data</x:v>
      </x:c>
      <x:c r="F966" s="7" t="n">
        <x:v>46266</x:v>
      </x:c>
    </x:row>
    <x:row r="967" ht="22" customHeight="1">
      <x:c r="A967" s="8" t="n">
        <x:v>45792</x:v>
      </x:c>
      <x:c r="B967" s="7" t="str">
        <x:v>US_ETF</x:v>
      </x:c>
      <x:c r="C967" s="7" t="n">
        <x:v>94.3097294134</x:v>
      </x:c>
      <x:c r="D967" s="7" t="n">
        <x:v>94.3097294134</x:v>
      </x:c>
      <x:c r="E967" s="7" t="str">
        <x:v>SYNTHETIC: seeded teaching dataset; not observed market data</x:v>
      </x:c>
      <x:c r="F967" s="7" t="n">
        <x:v>46266</x:v>
      </x:c>
    </x:row>
    <x:row r="968" ht="22" customHeight="1">
      <x:c r="A968" s="8" t="n">
        <x:v>45793</x:v>
      </x:c>
      <x:c r="B968" s="7" t="str">
        <x:v>US_ETF</x:v>
      </x:c>
      <x:c r="C968" s="7" t="n">
        <x:v>93.6716439307</x:v>
      </x:c>
      <x:c r="D968" s="7" t="n">
        <x:v>93.6716439307</x:v>
      </x:c>
      <x:c r="E968" s="7" t="str">
        <x:v>SYNTHETIC: seeded teaching dataset; not observed market data</x:v>
      </x:c>
      <x:c r="F968" s="7" t="n">
        <x:v>46266</x:v>
      </x:c>
    </x:row>
    <x:row r="969" ht="22" customHeight="1">
      <x:c r="A969" s="8" t="n">
        <x:v>45796</x:v>
      </x:c>
      <x:c r="B969" s="7" t="str">
        <x:v>US_ETF</x:v>
      </x:c>
      <x:c r="C969" s="7" t="n">
        <x:v>92.9903246579</x:v>
      </x:c>
      <x:c r="D969" s="7" t="n">
        <x:v>92.9903246579</x:v>
      </x:c>
      <x:c r="E969" s="7" t="str">
        <x:v>SYNTHETIC: seeded teaching dataset; not observed market data</x:v>
      </x:c>
      <x:c r="F969" s="7" t="n">
        <x:v>46266</x:v>
      </x:c>
    </x:row>
    <x:row r="970" ht="22" customHeight="1">
      <x:c r="A970" s="8" t="n">
        <x:v>45797</x:v>
      </x:c>
      <x:c r="B970" s="7" t="str">
        <x:v>US_ETF</x:v>
      </x:c>
      <x:c r="C970" s="7" t="n">
        <x:v>92.5738263095</x:v>
      </x:c>
      <x:c r="D970" s="7" t="n">
        <x:v>92.5738263095</x:v>
      </x:c>
      <x:c r="E970" s="7" t="str">
        <x:v>SYNTHETIC: seeded teaching dataset; not observed market data</x:v>
      </x:c>
      <x:c r="F970" s="7" t="n">
        <x:v>46266</x:v>
      </x:c>
    </x:row>
    <x:row r="971" ht="22" customHeight="1">
      <x:c r="A971" s="8" t="n">
        <x:v>45798</x:v>
      </x:c>
      <x:c r="B971" s="7" t="str">
        <x:v>US_ETF</x:v>
      </x:c>
      <x:c r="C971" s="7" t="n">
        <x:v>92.305427478</x:v>
      </x:c>
      <x:c r="D971" s="7" t="n">
        <x:v>92.305427478</x:v>
      </x:c>
      <x:c r="E971" s="7" t="str">
        <x:v>SYNTHETIC: seeded teaching dataset; not observed market data</x:v>
      </x:c>
      <x:c r="F971" s="7" t="n">
        <x:v>46266</x:v>
      </x:c>
    </x:row>
    <x:row r="972" ht="22" customHeight="1">
      <x:c r="A972" s="8" t="n">
        <x:v>45799</x:v>
      </x:c>
      <x:c r="B972" s="7" t="str">
        <x:v>US_ETF</x:v>
      </x:c>
      <x:c r="C972" s="7" t="n">
        <x:v>92.5220784652</x:v>
      </x:c>
      <x:c r="D972" s="7" t="n">
        <x:v>92.5220784652</x:v>
      </x:c>
      <x:c r="E972" s="7" t="str">
        <x:v>SYNTHETIC: seeded teaching dataset; not observed market data</x:v>
      </x:c>
      <x:c r="F972" s="7" t="n">
        <x:v>46266</x:v>
      </x:c>
    </x:row>
    <x:row r="973" ht="22" customHeight="1">
      <x:c r="A973" s="8" t="n">
        <x:v>45800</x:v>
      </x:c>
      <x:c r="B973" s="7" t="str">
        <x:v>US_ETF</x:v>
      </x:c>
      <x:c r="C973" s="7" t="n">
        <x:v>92.8330367703</x:v>
      </x:c>
      <x:c r="D973" s="7" t="n">
        <x:v>92.8330367703</x:v>
      </x:c>
      <x:c r="E973" s="7" t="str">
        <x:v>SYNTHETIC: seeded teaching dataset; not observed market data</x:v>
      </x:c>
      <x:c r="F973" s="7" t="n">
        <x:v>46266</x:v>
      </x:c>
    </x:row>
    <x:row r="974" ht="22" customHeight="1">
      <x:c r="A974" s="8" t="n">
        <x:v>45803</x:v>
      </x:c>
      <x:c r="B974" s="7" t="str">
        <x:v>US_ETF</x:v>
      </x:c>
      <x:c r="C974" s="7" t="n">
        <x:v>93.1921279884</x:v>
      </x:c>
      <x:c r="D974" s="7" t="n">
        <x:v>93.1921279884</x:v>
      </x:c>
      <x:c r="E974" s="7" t="str">
        <x:v>SYNTHETIC: seeded teaching dataset; not observed market data</x:v>
      </x:c>
      <x:c r="F974" s="7" t="n">
        <x:v>46266</x:v>
      </x:c>
    </x:row>
    <x:row r="975" ht="22" customHeight="1">
      <x:c r="A975" s="8" t="n">
        <x:v>45804</x:v>
      </x:c>
      <x:c r="B975" s="7" t="str">
        <x:v>US_ETF</x:v>
      </x:c>
      <x:c r="C975" s="7" t="n">
        <x:v>92.8890413201</x:v>
      </x:c>
      <x:c r="D975" s="7" t="n">
        <x:v>92.8890413201</x:v>
      </x:c>
      <x:c r="E975" s="7" t="str">
        <x:v>SYNTHETIC: seeded teaching dataset; not observed market data</x:v>
      </x:c>
      <x:c r="F975" s="7" t="n">
        <x:v>46266</x:v>
      </x:c>
    </x:row>
    <x:row r="976" ht="22" customHeight="1">
      <x:c r="A976" s="8" t="n">
        <x:v>45805</x:v>
      </x:c>
      <x:c r="B976" s="7" t="str">
        <x:v>US_ETF</x:v>
      </x:c>
      <x:c r="C976" s="7" t="n">
        <x:v>92.2387150665</x:v>
      </x:c>
      <x:c r="D976" s="7" t="n">
        <x:v>92.2387150665</x:v>
      </x:c>
      <x:c r="E976" s="7" t="str">
        <x:v>SYNTHETIC: seeded teaching dataset; not observed market data</x:v>
      </x:c>
      <x:c r="F976" s="7" t="n">
        <x:v>46266</x:v>
      </x:c>
    </x:row>
    <x:row r="977" ht="22" customHeight="1">
      <x:c r="A977" s="8" t="n">
        <x:v>45806</x:v>
      </x:c>
      <x:c r="B977" s="7" t="str">
        <x:v>US_ETF</x:v>
      </x:c>
      <x:c r="C977" s="7" t="n">
        <x:v>92.3115080996</x:v>
      </x:c>
      <x:c r="D977" s="7" t="n">
        <x:v>92.3115080996</x:v>
      </x:c>
      <x:c r="E977" s="7" t="str">
        <x:v>SYNTHETIC: seeded teaching dataset; not observed market data</x:v>
      </x:c>
      <x:c r="F977" s="7" t="n">
        <x:v>46266</x:v>
      </x:c>
    </x:row>
    <x:row r="978" ht="22" customHeight="1">
      <x:c r="A978" s="8" t="n">
        <x:v>45807</x:v>
      </x:c>
      <x:c r="B978" s="7" t="str">
        <x:v>US_ETF</x:v>
      </x:c>
      <x:c r="C978" s="7" t="n">
        <x:v>92.8544608165</x:v>
      </x:c>
      <x:c r="D978" s="7" t="n">
        <x:v>92.8544608165</x:v>
      </x:c>
      <x:c r="E978" s="7" t="str">
        <x:v>SYNTHETIC: seeded teaching dataset; not observed market data</x:v>
      </x:c>
      <x:c r="F978" s="7" t="n">
        <x:v>46266</x:v>
      </x:c>
    </x:row>
    <x:row r="979" ht="22" customHeight="1">
      <x:c r="A979" s="8" t="n">
        <x:v>45810</x:v>
      </x:c>
      <x:c r="B979" s="7" t="str">
        <x:v>US_ETF</x:v>
      </x:c>
      <x:c r="C979" s="7" t="n">
        <x:v>92.4827403261</x:v>
      </x:c>
      <x:c r="D979" s="7" t="n">
        <x:v>92.4827403261</x:v>
      </x:c>
      <x:c r="E979" s="7" t="str">
        <x:v>SYNTHETIC: seeded teaching dataset; not observed market data</x:v>
      </x:c>
      <x:c r="F979" s="7" t="n">
        <x:v>46266</x:v>
      </x:c>
    </x:row>
    <x:row r="980" ht="22" customHeight="1">
      <x:c r="A980" s="8" t="n">
        <x:v>45811</x:v>
      </x:c>
      <x:c r="B980" s="7" t="str">
        <x:v>US_ETF</x:v>
      </x:c>
      <x:c r="C980" s="7" t="n">
        <x:v>92.3948226359</x:v>
      </x:c>
      <x:c r="D980" s="7" t="n">
        <x:v>92.3948226359</x:v>
      </x:c>
      <x:c r="E980" s="7" t="str">
        <x:v>SYNTHETIC: seeded teaching dataset; not observed market data</x:v>
      </x:c>
      <x:c r="F980" s="7" t="n">
        <x:v>46266</x:v>
      </x:c>
    </x:row>
    <x:row r="981" ht="22" customHeight="1">
      <x:c r="A981" s="8" t="n">
        <x:v>45812</x:v>
      </x:c>
      <x:c r="B981" s="7" t="str">
        <x:v>US_ETF</x:v>
      </x:c>
      <x:c r="C981" s="7" t="n">
        <x:v>91.7155280149</x:v>
      </x:c>
      <x:c r="D981" s="7" t="n">
        <x:v>91.7155280149</x:v>
      </x:c>
      <x:c r="E981" s="7" t="str">
        <x:v>SYNTHETIC: seeded teaching dataset; not observed market data</x:v>
      </x:c>
      <x:c r="F981" s="7" t="n">
        <x:v>46266</x:v>
      </x:c>
    </x:row>
    <x:row r="982" ht="22" customHeight="1">
      <x:c r="A982" s="8" t="n">
        <x:v>45813</x:v>
      </x:c>
      <x:c r="B982" s="7" t="str">
        <x:v>US_ETF</x:v>
      </x:c>
      <x:c r="C982" s="7" t="n">
        <x:v>91.4892405257</x:v>
      </x:c>
      <x:c r="D982" s="7" t="n">
        <x:v>91.4892405257</x:v>
      </x:c>
      <x:c r="E982" s="7" t="str">
        <x:v>SYNTHETIC: seeded teaching dataset; not observed market data</x:v>
      </x:c>
      <x:c r="F982" s="7" t="n">
        <x:v>46266</x:v>
      </x:c>
    </x:row>
    <x:row r="983" ht="22" customHeight="1">
      <x:c r="A983" s="8" t="n">
        <x:v>45814</x:v>
      </x:c>
      <x:c r="B983" s="7" t="str">
        <x:v>US_ETF</x:v>
      </x:c>
      <x:c r="C983" s="7" t="n">
        <x:v>91.2326751235</x:v>
      </x:c>
      <x:c r="D983" s="7" t="n">
        <x:v>91.2326751235</x:v>
      </x:c>
      <x:c r="E983" s="7" t="str">
        <x:v>SYNTHETIC: seeded teaching dataset; not observed market data</x:v>
      </x:c>
      <x:c r="F983" s="7" t="n">
        <x:v>46266</x:v>
      </x:c>
    </x:row>
    <x:row r="984" ht="22" customHeight="1">
      <x:c r="A984" s="8" t="n">
        <x:v>45817</x:v>
      </x:c>
      <x:c r="B984" s="7" t="str">
        <x:v>US_ETF</x:v>
      </x:c>
      <x:c r="C984" s="7" t="n">
        <x:v>91.5388155201</x:v>
      </x:c>
      <x:c r="D984" s="7" t="n">
        <x:v>91.5388155201</x:v>
      </x:c>
      <x:c r="E984" s="7" t="str">
        <x:v>SYNTHETIC: seeded teaching dataset; not observed market data</x:v>
      </x:c>
      <x:c r="F984" s="7" t="n">
        <x:v>46266</x:v>
      </x:c>
    </x:row>
    <x:row r="985" ht="22" customHeight="1">
      <x:c r="A985" s="8" t="n">
        <x:v>45818</x:v>
      </x:c>
      <x:c r="B985" s="7" t="str">
        <x:v>US_ETF</x:v>
      </x:c>
      <x:c r="C985" s="7" t="n">
        <x:v>91.7072814289</x:v>
      </x:c>
      <x:c r="D985" s="7" t="n">
        <x:v>91.7072814289</x:v>
      </x:c>
      <x:c r="E985" s="7" t="str">
        <x:v>SYNTHETIC: seeded teaching dataset; not observed market data</x:v>
      </x:c>
      <x:c r="F985" s="7" t="n">
        <x:v>46266</x:v>
      </x:c>
    </x:row>
    <x:row r="986" ht="22" customHeight="1">
      <x:c r="A986" s="8" t="n">
        <x:v>45819</x:v>
      </x:c>
      <x:c r="B986" s="7" t="str">
        <x:v>US_ETF</x:v>
      </x:c>
      <x:c r="C986" s="7" t="n">
        <x:v>92.17762482</x:v>
      </x:c>
      <x:c r="D986" s="7" t="n">
        <x:v>92.17762482</x:v>
      </x:c>
      <x:c r="E986" s="7" t="str">
        <x:v>SYNTHETIC: seeded teaching dataset; not observed market data</x:v>
      </x:c>
      <x:c r="F986" s="7" t="n">
        <x:v>46266</x:v>
      </x:c>
    </x:row>
    <x:row r="987" ht="22" customHeight="1">
      <x:c r="A987" s="8" t="n">
        <x:v>45820</x:v>
      </x:c>
      <x:c r="B987" s="7" t="str">
        <x:v>US_ETF</x:v>
      </x:c>
      <x:c r="C987" s="7" t="n">
        <x:v>92.1519548511</x:v>
      </x:c>
      <x:c r="D987" s="7" t="n">
        <x:v>92.1519548511</x:v>
      </x:c>
      <x:c r="E987" s="7" t="str">
        <x:v>SYNTHETIC: seeded teaching dataset; not observed market data</x:v>
      </x:c>
      <x:c r="F987" s="7" t="n">
        <x:v>46266</x:v>
      </x:c>
    </x:row>
    <x:row r="988" ht="22" customHeight="1">
      <x:c r="A988" s="8" t="n">
        <x:v>45821</x:v>
      </x:c>
      <x:c r="B988" s="7" t="str">
        <x:v>US_ETF</x:v>
      </x:c>
      <x:c r="C988" s="7" t="n">
        <x:v>92.1333484739</x:v>
      </x:c>
      <x:c r="D988" s="7" t="n">
        <x:v>92.1333484739</x:v>
      </x:c>
      <x:c r="E988" s="7" t="str">
        <x:v>SYNTHETIC: seeded teaching dataset; not observed market data</x:v>
      </x:c>
      <x:c r="F988" s="7" t="n">
        <x:v>46266</x:v>
      </x:c>
    </x:row>
    <x:row r="989" ht="22" customHeight="1">
      <x:c r="A989" s="8" t="n">
        <x:v>45824</x:v>
      </x:c>
      <x:c r="B989" s="7" t="str">
        <x:v>US_ETF</x:v>
      </x:c>
      <x:c r="C989" s="7" t="n">
        <x:v>92.3333669399</x:v>
      </x:c>
      <x:c r="D989" s="7" t="n">
        <x:v>92.3333669399</x:v>
      </x:c>
      <x:c r="E989" s="7" t="str">
        <x:v>SYNTHETIC: seeded teaching dataset; not observed market data</x:v>
      </x:c>
      <x:c r="F989" s="7" t="n">
        <x:v>46266</x:v>
      </x:c>
    </x:row>
    <x:row r="990" ht="22" customHeight="1">
      <x:c r="A990" s="8" t="n">
        <x:v>45825</x:v>
      </x:c>
      <x:c r="B990" s="7" t="str">
        <x:v>US_ETF</x:v>
      </x:c>
      <x:c r="C990" s="7" t="n">
        <x:v>92.6417461141</x:v>
      </x:c>
      <x:c r="D990" s="7" t="n">
        <x:v>92.6417461141</x:v>
      </x:c>
      <x:c r="E990" s="7" t="str">
        <x:v>SYNTHETIC: seeded teaching dataset; not observed market data</x:v>
      </x:c>
      <x:c r="F990" s="7" t="n">
        <x:v>46266</x:v>
      </x:c>
    </x:row>
    <x:row r="991" ht="22" customHeight="1">
      <x:c r="A991" s="8" t="n">
        <x:v>45826</x:v>
      </x:c>
      <x:c r="B991" s="7" t="str">
        <x:v>US_ETF</x:v>
      </x:c>
      <x:c r="C991" s="7" t="n">
        <x:v>92.4722386873</x:v>
      </x:c>
      <x:c r="D991" s="7" t="n">
        <x:v>92.4722386873</x:v>
      </x:c>
      <x:c r="E991" s="7" t="str">
        <x:v>SYNTHETIC: seeded teaching dataset; not observed market data</x:v>
      </x:c>
      <x:c r="F991" s="7" t="n">
        <x:v>46266</x:v>
      </x:c>
    </x:row>
    <x:row r="992" ht="22" customHeight="1">
      <x:c r="A992" s="8" t="n">
        <x:v>45827</x:v>
      </x:c>
      <x:c r="B992" s="7" t="str">
        <x:v>US_ETF</x:v>
      </x:c>
      <x:c r="C992" s="7" t="n">
        <x:v>92.6697869746</x:v>
      </x:c>
      <x:c r="D992" s="7" t="n">
        <x:v>92.6697869746</x:v>
      </x:c>
      <x:c r="E992" s="7" t="str">
        <x:v>SYNTHETIC: seeded teaching dataset; not observed market data</x:v>
      </x:c>
      <x:c r="F992" s="7" t="n">
        <x:v>46266</x:v>
      </x:c>
    </x:row>
    <x:row r="993" ht="22" customHeight="1">
      <x:c r="A993" s="8" t="n">
        <x:v>45828</x:v>
      </x:c>
      <x:c r="B993" s="7" t="str">
        <x:v>US_ETF</x:v>
      </x:c>
      <x:c r="C993" s="7" t="n">
        <x:v>92.5382608158</x:v>
      </x:c>
      <x:c r="D993" s="7" t="n">
        <x:v>92.5382608158</x:v>
      </x:c>
      <x:c r="E993" s="7" t="str">
        <x:v>SYNTHETIC: seeded teaching dataset; not observed market data</x:v>
      </x:c>
      <x:c r="F993" s="7" t="n">
        <x:v>46266</x:v>
      </x:c>
    </x:row>
    <x:row r="994" ht="22" customHeight="1">
      <x:c r="A994" s="8" t="n">
        <x:v>45831</x:v>
      </x:c>
      <x:c r="B994" s="7" t="str">
        <x:v>US_ETF</x:v>
      </x:c>
      <x:c r="C994" s="7" t="n">
        <x:v>92.2793145512</x:v>
      </x:c>
      <x:c r="D994" s="7" t="n">
        <x:v>92.2793145512</x:v>
      </x:c>
      <x:c r="E994" s="7" t="str">
        <x:v>SYNTHETIC: seeded teaching dataset; not observed market data</x:v>
      </x:c>
      <x:c r="F994" s="7" t="n">
        <x:v>46266</x:v>
      </x:c>
    </x:row>
    <x:row r="995" ht="22" customHeight="1">
      <x:c r="A995" s="8" t="n">
        <x:v>45832</x:v>
      </x:c>
      <x:c r="B995" s="7" t="str">
        <x:v>US_ETF</x:v>
      </x:c>
      <x:c r="C995" s="7" t="n">
        <x:v>91.9565675368</x:v>
      </x:c>
      <x:c r="D995" s="7" t="n">
        <x:v>91.9565675368</x:v>
      </x:c>
      <x:c r="E995" s="7" t="str">
        <x:v>SYNTHETIC: seeded teaching dataset; not observed market data</x:v>
      </x:c>
      <x:c r="F995" s="7" t="n">
        <x:v>46266</x:v>
      </x:c>
    </x:row>
    <x:row r="996" ht="22" customHeight="1">
      <x:c r="A996" s="8" t="n">
        <x:v>45833</x:v>
      </x:c>
      <x:c r="B996" s="7" t="str">
        <x:v>US_ETF</x:v>
      </x:c>
      <x:c r="C996" s="7" t="n">
        <x:v>91.8011890303</x:v>
      </x:c>
      <x:c r="D996" s="7" t="n">
        <x:v>91.8011890303</x:v>
      </x:c>
      <x:c r="E996" s="7" t="str">
        <x:v>SYNTHETIC: seeded teaching dataset; not observed market data</x:v>
      </x:c>
      <x:c r="F996" s="7" t="n">
        <x:v>46266</x:v>
      </x:c>
    </x:row>
    <x:row r="997" ht="22" customHeight="1">
      <x:c r="A997" s="8" t="n">
        <x:v>45834</x:v>
      </x:c>
      <x:c r="B997" s="7" t="str">
        <x:v>US_ETF</x:v>
      </x:c>
      <x:c r="C997" s="7" t="n">
        <x:v>92.3343745521</x:v>
      </x:c>
      <x:c r="D997" s="7" t="n">
        <x:v>92.3343745521</x:v>
      </x:c>
      <x:c r="E997" s="7" t="str">
        <x:v>SYNTHETIC: seeded teaching dataset; not observed market data</x:v>
      </x:c>
      <x:c r="F997" s="7" t="n">
        <x:v>46266</x:v>
      </x:c>
    </x:row>
    <x:row r="998" ht="22" customHeight="1">
      <x:c r="A998" s="8" t="n">
        <x:v>45835</x:v>
      </x:c>
      <x:c r="B998" s="7" t="str">
        <x:v>US_ETF</x:v>
      </x:c>
      <x:c r="C998" s="7" t="n">
        <x:v>92.2875574263</x:v>
      </x:c>
      <x:c r="D998" s="7" t="n">
        <x:v>92.2875574263</x:v>
      </x:c>
      <x:c r="E998" s="7" t="str">
        <x:v>SYNTHETIC: seeded teaching dataset; not observed market data</x:v>
      </x:c>
      <x:c r="F998" s="7" t="n">
        <x:v>46266</x:v>
      </x:c>
    </x:row>
    <x:row r="999" ht="22" customHeight="1">
      <x:c r="A999" s="8" t="n">
        <x:v>45838</x:v>
      </x:c>
      <x:c r="B999" s="7" t="str">
        <x:v>US_ETF</x:v>
      </x:c>
      <x:c r="C999" s="7" t="n">
        <x:v>92.3514657048</x:v>
      </x:c>
      <x:c r="D999" s="7" t="n">
        <x:v>92.3514657048</x:v>
      </x:c>
      <x:c r="E999" s="7" t="str">
        <x:v>SYNTHETIC: seeded teaching dataset; not observed market data</x:v>
      </x:c>
      <x:c r="F999" s="7" t="n">
        <x:v>46266</x:v>
      </x:c>
    </x:row>
    <x:row r="1000" ht="22" customHeight="1">
      <x:c r="A1000" s="8" t="n">
        <x:v>45839</x:v>
      </x:c>
      <x:c r="B1000" s="7" t="str">
        <x:v>US_ETF</x:v>
      </x:c>
      <x:c r="C1000" s="7" t="n">
        <x:v>92.7187620043</x:v>
      </x:c>
      <x:c r="D1000" s="7" t="n">
        <x:v>92.7187620043</x:v>
      </x:c>
      <x:c r="E1000" s="7" t="str">
        <x:v>SYNTHETIC: seeded teaching dataset; not observed market data</x:v>
      </x:c>
      <x:c r="F1000" s="7" t="n">
        <x:v>46266</x:v>
      </x:c>
    </x:row>
    <x:row r="1001" ht="22" customHeight="1">
      <x:c r="A1001" s="8" t="n">
        <x:v>45840</x:v>
      </x:c>
      <x:c r="B1001" s="7" t="str">
        <x:v>US_ETF</x:v>
      </x:c>
      <x:c r="C1001" s="7" t="n">
        <x:v>92.053926872</x:v>
      </x:c>
      <x:c r="D1001" s="7" t="n">
        <x:v>92.053926872</x:v>
      </x:c>
      <x:c r="E1001" s="7" t="str">
        <x:v>SYNTHETIC: seeded teaching dataset; not observed market data</x:v>
      </x:c>
      <x:c r="F1001" s="7" t="n">
        <x:v>46266</x:v>
      </x:c>
    </x:row>
    <x:row r="1002" ht="22" customHeight="1">
      <x:c r="A1002" s="8" t="n">
        <x:v>45841</x:v>
      </x:c>
      <x:c r="B1002" s="7" t="str">
        <x:v>US_ETF</x:v>
      </x:c>
      <x:c r="C1002" s="7" t="n">
        <x:v>92.207386624</x:v>
      </x:c>
      <x:c r="D1002" s="7" t="n">
        <x:v>92.207386624</x:v>
      </x:c>
      <x:c r="E1002" s="7" t="str">
        <x:v>SYNTHETIC: seeded teaching dataset; not observed market data</x:v>
      </x:c>
      <x:c r="F1002" s="7" t="n">
        <x:v>46266</x:v>
      </x:c>
    </x:row>
    <x:row r="1003" ht="22" customHeight="1">
      <x:c r="A1003" s="8" t="n">
        <x:v>45842</x:v>
      </x:c>
      <x:c r="B1003" s="7" t="str">
        <x:v>US_ETF</x:v>
      </x:c>
      <x:c r="C1003" s="7" t="n">
        <x:v>92.2077091991</x:v>
      </x:c>
      <x:c r="D1003" s="7" t="n">
        <x:v>92.2077091991</x:v>
      </x:c>
      <x:c r="E1003" s="7" t="str">
        <x:v>SYNTHETIC: seeded teaching dataset; not observed market data</x:v>
      </x:c>
      <x:c r="F1003" s="7" t="n">
        <x:v>46266</x:v>
      </x:c>
    </x:row>
    <x:row r="1004" ht="22" customHeight="1">
      <x:c r="A1004" s="8" t="n">
        <x:v>45845</x:v>
      </x:c>
      <x:c r="B1004" s="7" t="str">
        <x:v>US_ETF</x:v>
      </x:c>
      <x:c r="C1004" s="7" t="n">
        <x:v>92.6226078666</x:v>
      </x:c>
      <x:c r="D1004" s="7" t="n">
        <x:v>92.6226078666</x:v>
      </x:c>
      <x:c r="E1004" s="7" t="str">
        <x:v>SYNTHETIC: seeded teaching dataset; not observed market data</x:v>
      </x:c>
      <x:c r="F1004" s="7" t="n">
        <x:v>46266</x:v>
      </x:c>
    </x:row>
    <x:row r="1005" ht="22" customHeight="1">
      <x:c r="A1005" s="8" t="n">
        <x:v>45846</x:v>
      </x:c>
      <x:c r="B1005" s="7" t="str">
        <x:v>US_ETF</x:v>
      </x:c>
      <x:c r="C1005" s="7" t="n">
        <x:v>92.7646606253</x:v>
      </x:c>
      <x:c r="D1005" s="7" t="n">
        <x:v>92.7646606253</x:v>
      </x:c>
      <x:c r="E1005" s="7" t="str">
        <x:v>SYNTHETIC: seeded teaching dataset; not observed market data</x:v>
      </x:c>
      <x:c r="F1005" s="7" t="n">
        <x:v>46266</x:v>
      </x:c>
    </x:row>
    <x:row r="1006" ht="22" customHeight="1">
      <x:c r="A1006" s="8" t="n">
        <x:v>45847</x:v>
      </x:c>
      <x:c r="B1006" s="7" t="str">
        <x:v>US_ETF</x:v>
      </x:c>
      <x:c r="C1006" s="7" t="n">
        <x:v>93.1258482592</x:v>
      </x:c>
      <x:c r="D1006" s="7" t="n">
        <x:v>93.1258482592</x:v>
      </x:c>
      <x:c r="E1006" s="7" t="str">
        <x:v>SYNTHETIC: seeded teaching dataset; not observed market data</x:v>
      </x:c>
      <x:c r="F1006" s="7" t="n">
        <x:v>46266</x:v>
      </x:c>
    </x:row>
    <x:row r="1007" ht="22" customHeight="1">
      <x:c r="A1007" s="8" t="n">
        <x:v>45848</x:v>
      </x:c>
      <x:c r="B1007" s="7" t="str">
        <x:v>US_ETF</x:v>
      </x:c>
      <x:c r="C1007" s="7" t="n">
        <x:v>93.3349241184</x:v>
      </x:c>
      <x:c r="D1007" s="7" t="n">
        <x:v>93.3349241184</x:v>
      </x:c>
      <x:c r="E1007" s="7" t="str">
        <x:v>SYNTHETIC: seeded teaching dataset; not observed market data</x:v>
      </x:c>
      <x:c r="F1007" s="7" t="n">
        <x:v>46266</x:v>
      </x:c>
    </x:row>
    <x:row r="1008" ht="22" customHeight="1">
      <x:c r="A1008" s="8" t="n">
        <x:v>45849</x:v>
      </x:c>
      <x:c r="B1008" s="7" t="str">
        <x:v>US_ETF</x:v>
      </x:c>
      <x:c r="C1008" s="7" t="n">
        <x:v>94.0103643079</x:v>
      </x:c>
      <x:c r="D1008" s="7" t="n">
        <x:v>94.0103643079</x:v>
      </x:c>
      <x:c r="E1008" s="7" t="str">
        <x:v>SYNTHETIC: seeded teaching dataset; not observed market data</x:v>
      </x:c>
      <x:c r="F1008" s="7" t="n">
        <x:v>46266</x:v>
      </x:c>
    </x:row>
    <x:row r="1009" ht="22" customHeight="1">
      <x:c r="A1009" s="8" t="n">
        <x:v>45852</x:v>
      </x:c>
      <x:c r="B1009" s="7" t="str">
        <x:v>US_ETF</x:v>
      </x:c>
      <x:c r="C1009" s="7" t="n">
        <x:v>93.3645308023</x:v>
      </x:c>
      <x:c r="D1009" s="7" t="n">
        <x:v>93.3645308023</x:v>
      </x:c>
      <x:c r="E1009" s="7" t="str">
        <x:v>SYNTHETIC: seeded teaching dataset; not observed market data</x:v>
      </x:c>
      <x:c r="F1009" s="7" t="n">
        <x:v>46266</x:v>
      </x:c>
    </x:row>
    <x:row r="1010" ht="22" customHeight="1">
      <x:c r="A1010" s="8" t="n">
        <x:v>45853</x:v>
      </x:c>
      <x:c r="B1010" s="7" t="str">
        <x:v>US_ETF</x:v>
      </x:c>
      <x:c r="C1010" s="7" t="n">
        <x:v>93.3615871992</x:v>
      </x:c>
      <x:c r="D1010" s="7" t="n">
        <x:v>93.3615871992</x:v>
      </x:c>
      <x:c r="E1010" s="7" t="str">
        <x:v>SYNTHETIC: seeded teaching dataset; not observed market data</x:v>
      </x:c>
      <x:c r="F1010" s="7" t="n">
        <x:v>46266</x:v>
      </x:c>
    </x:row>
    <x:row r="1011" ht="22" customHeight="1">
      <x:c r="A1011" s="8" t="n">
        <x:v>45854</x:v>
      </x:c>
      <x:c r="B1011" s="7" t="str">
        <x:v>US_ETF</x:v>
      </x:c>
      <x:c r="C1011" s="7" t="n">
        <x:v>93.6481852685</x:v>
      </x:c>
      <x:c r="D1011" s="7" t="n">
        <x:v>93.6481852685</x:v>
      </x:c>
      <x:c r="E1011" s="7" t="str">
        <x:v>SYNTHETIC: seeded teaching dataset; not observed market data</x:v>
      </x:c>
      <x:c r="F1011" s="7" t="n">
        <x:v>46266</x:v>
      </x:c>
    </x:row>
    <x:row r="1012" ht="22" customHeight="1">
      <x:c r="A1012" s="8" t="n">
        <x:v>45855</x:v>
      </x:c>
      <x:c r="B1012" s="7" t="str">
        <x:v>US_ETF</x:v>
      </x:c>
      <x:c r="C1012" s="7" t="n">
        <x:v>93.8914792051</x:v>
      </x:c>
      <x:c r="D1012" s="7" t="n">
        <x:v>93.8914792051</x:v>
      </x:c>
      <x:c r="E1012" s="7" t="str">
        <x:v>SYNTHETIC: seeded teaching dataset; not observed market data</x:v>
      </x:c>
      <x:c r="F1012" s="7" t="n">
        <x:v>46266</x:v>
      </x:c>
    </x:row>
    <x:row r="1013" ht="22" customHeight="1">
      <x:c r="A1013" s="8" t="n">
        <x:v>45856</x:v>
      </x:c>
      <x:c r="B1013" s="7" t="str">
        <x:v>US_ETF</x:v>
      </x:c>
      <x:c r="C1013" s="7" t="n">
        <x:v>93.9089896645</x:v>
      </x:c>
      <x:c r="D1013" s="7" t="n">
        <x:v>93.9089896645</x:v>
      </x:c>
      <x:c r="E1013" s="7" t="str">
        <x:v>SYNTHETIC: seeded teaching dataset; not observed market data</x:v>
      </x:c>
      <x:c r="F1013" s="7" t="n">
        <x:v>46266</x:v>
      </x:c>
    </x:row>
    <x:row r="1014" ht="22" customHeight="1">
      <x:c r="A1014" s="8" t="n">
        <x:v>45859</x:v>
      </x:c>
      <x:c r="B1014" s="7" t="str">
        <x:v>US_ETF</x:v>
      </x:c>
      <x:c r="C1014" s="7" t="n">
        <x:v>94.3963664844</x:v>
      </x:c>
      <x:c r="D1014" s="7" t="n">
        <x:v>94.3963664844</x:v>
      </x:c>
      <x:c r="E1014" s="7" t="str">
        <x:v>SYNTHETIC: seeded teaching dataset; not observed market data</x:v>
      </x:c>
      <x:c r="F1014" s="7" t="n">
        <x:v>46266</x:v>
      </x:c>
    </x:row>
    <x:row r="1015" ht="22" customHeight="1">
      <x:c r="A1015" s="8" t="n">
        <x:v>45860</x:v>
      </x:c>
      <x:c r="B1015" s="7" t="str">
        <x:v>US_ETF</x:v>
      </x:c>
      <x:c r="C1015" s="7" t="n">
        <x:v>94.837514393</x:v>
      </x:c>
      <x:c r="D1015" s="7" t="n">
        <x:v>94.837514393</x:v>
      </x:c>
      <x:c r="E1015" s="7" t="str">
        <x:v>SYNTHETIC: seeded teaching dataset; not observed market data</x:v>
      </x:c>
      <x:c r="F1015" s="7" t="n">
        <x:v>46266</x:v>
      </x:c>
    </x:row>
    <x:row r="1016" ht="22" customHeight="1">
      <x:c r="A1016" s="8" t="n">
        <x:v>45861</x:v>
      </x:c>
      <x:c r="B1016" s="7" t="str">
        <x:v>US_ETF</x:v>
      </x:c>
      <x:c r="C1016" s="7" t="n">
        <x:v>94.5002233357</x:v>
      </x:c>
      <x:c r="D1016" s="7" t="n">
        <x:v>94.5002233357</x:v>
      </x:c>
      <x:c r="E1016" s="7" t="str">
        <x:v>SYNTHETIC: seeded teaching dataset; not observed market data</x:v>
      </x:c>
      <x:c r="F1016" s="7" t="n">
        <x:v>46266</x:v>
      </x:c>
    </x:row>
    <x:row r="1017" ht="22" customHeight="1">
      <x:c r="A1017" s="8" t="n">
        <x:v>45862</x:v>
      </x:c>
      <x:c r="B1017" s="7" t="str">
        <x:v>US_ETF</x:v>
      </x:c>
      <x:c r="C1017" s="7" t="n">
        <x:v>94.2847781918</x:v>
      </x:c>
      <x:c r="D1017" s="7" t="n">
        <x:v>94.2847781918</x:v>
      </x:c>
      <x:c r="E1017" s="7" t="str">
        <x:v>SYNTHETIC: seeded teaching dataset; not observed market data</x:v>
      </x:c>
      <x:c r="F1017" s="7" t="n">
        <x:v>46266</x:v>
      </x:c>
    </x:row>
    <x:row r="1018" ht="22" customHeight="1">
      <x:c r="A1018" s="8" t="n">
        <x:v>45863</x:v>
      </x:c>
      <x:c r="B1018" s="7" t="str">
        <x:v>US_ETF</x:v>
      </x:c>
      <x:c r="C1018" s="7" t="n">
        <x:v>94.5250811206</x:v>
      </x:c>
      <x:c r="D1018" s="7" t="n">
        <x:v>94.5250811206</x:v>
      </x:c>
      <x:c r="E1018" s="7" t="str">
        <x:v>SYNTHETIC: seeded teaching dataset; not observed market data</x:v>
      </x:c>
      <x:c r="F1018" s="7" t="n">
        <x:v>46266</x:v>
      </x:c>
    </x:row>
    <x:row r="1019" ht="22" customHeight="1">
      <x:c r="A1019" s="8" t="n">
        <x:v>45866</x:v>
      </x:c>
      <x:c r="B1019" s="7" t="str">
        <x:v>US_ETF</x:v>
      </x:c>
      <x:c r="C1019" s="7" t="n">
        <x:v>94.1990079378</x:v>
      </x:c>
      <x:c r="D1019" s="7" t="n">
        <x:v>94.1990079378</x:v>
      </x:c>
      <x:c r="E1019" s="7" t="str">
        <x:v>SYNTHETIC: seeded teaching dataset; not observed market data</x:v>
      </x:c>
      <x:c r="F1019" s="7" t="n">
        <x:v>46266</x:v>
      </x:c>
    </x:row>
    <x:row r="1020" ht="22" customHeight="1">
      <x:c r="A1020" s="8" t="n">
        <x:v>45867</x:v>
      </x:c>
      <x:c r="B1020" s="7" t="str">
        <x:v>US_ETF</x:v>
      </x:c>
      <x:c r="C1020" s="7" t="n">
        <x:v>94.1078030268</x:v>
      </x:c>
      <x:c r="D1020" s="7" t="n">
        <x:v>94.1078030268</x:v>
      </x:c>
      <x:c r="E1020" s="7" t="str">
        <x:v>SYNTHETIC: seeded teaching dataset; not observed market data</x:v>
      </x:c>
      <x:c r="F1020" s="7" t="n">
        <x:v>46266</x:v>
      </x:c>
    </x:row>
    <x:row r="1021" ht="22" customHeight="1">
      <x:c r="A1021" s="8" t="n">
        <x:v>45868</x:v>
      </x:c>
      <x:c r="B1021" s="7" t="str">
        <x:v>US_ETF</x:v>
      </x:c>
      <x:c r="C1021" s="7" t="n">
        <x:v>93.3287040531</x:v>
      </x:c>
      <x:c r="D1021" s="7" t="n">
        <x:v>93.3287040531</x:v>
      </x:c>
      <x:c r="E1021" s="7" t="str">
        <x:v>SYNTHETIC: seeded teaching dataset; not observed market data</x:v>
      </x:c>
      <x:c r="F1021" s="7" t="n">
        <x:v>46266</x:v>
      </x:c>
    </x:row>
    <x:row r="1022" ht="22" customHeight="1">
      <x:c r="A1022" s="8" t="n">
        <x:v>45869</x:v>
      </x:c>
      <x:c r="B1022" s="7" t="str">
        <x:v>US_ETF</x:v>
      </x:c>
      <x:c r="C1022" s="7" t="n">
        <x:v>93.3729035492</x:v>
      </x:c>
      <x:c r="D1022" s="7" t="n">
        <x:v>93.3729035492</x:v>
      </x:c>
      <x:c r="E1022" s="7" t="str">
        <x:v>SYNTHETIC: seeded teaching dataset; not observed market data</x:v>
      </x:c>
      <x:c r="F1022" s="7" t="n">
        <x:v>46266</x:v>
      </x:c>
    </x:row>
    <x:row r="1023" ht="22" customHeight="1">
      <x:c r="A1023" s="8" t="n">
        <x:v>45870</x:v>
      </x:c>
      <x:c r="B1023" s="7" t="str">
        <x:v>US_ETF</x:v>
      </x:c>
      <x:c r="C1023" s="7" t="n">
        <x:v>93.4501508549</x:v>
      </x:c>
      <x:c r="D1023" s="7" t="n">
        <x:v>93.4501508549</x:v>
      </x:c>
      <x:c r="E1023" s="7" t="str">
        <x:v>SYNTHETIC: seeded teaching dataset; not observed market data</x:v>
      </x:c>
      <x:c r="F1023" s="7" t="n">
        <x:v>46266</x:v>
      </x:c>
    </x:row>
    <x:row r="1024" ht="22" customHeight="1">
      <x:c r="A1024" s="8" t="n">
        <x:v>45873</x:v>
      </x:c>
      <x:c r="B1024" s="7" t="str">
        <x:v>US_ETF</x:v>
      </x:c>
      <x:c r="C1024" s="7" t="n">
        <x:v>93.9411031268</x:v>
      </x:c>
      <x:c r="D1024" s="7" t="n">
        <x:v>93.9411031268</x:v>
      </x:c>
      <x:c r="E1024" s="7" t="str">
        <x:v>SYNTHETIC: seeded teaching dataset; not observed market data</x:v>
      </x:c>
      <x:c r="F1024" s="7" t="n">
        <x:v>46266</x:v>
      </x:c>
    </x:row>
    <x:row r="1025" ht="22" customHeight="1">
      <x:c r="A1025" s="8" t="n">
        <x:v>45874</x:v>
      </x:c>
      <x:c r="B1025" s="7" t="str">
        <x:v>US_ETF</x:v>
      </x:c>
      <x:c r="C1025" s="7" t="n">
        <x:v>93.9273617982</x:v>
      </x:c>
      <x:c r="D1025" s="7" t="n">
        <x:v>93.9273617982</x:v>
      </x:c>
      <x:c r="E1025" s="7" t="str">
        <x:v>SYNTHETIC: seeded teaching dataset; not observed market data</x:v>
      </x:c>
      <x:c r="F1025" s="7" t="n">
        <x:v>46266</x:v>
      </x:c>
    </x:row>
    <x:row r="1026" ht="22" customHeight="1">
      <x:c r="A1026" s="8" t="n">
        <x:v>45875</x:v>
      </x:c>
      <x:c r="B1026" s="7" t="str">
        <x:v>US_ETF</x:v>
      </x:c>
      <x:c r="C1026" s="7" t="n">
        <x:v>93.9104097436</x:v>
      </x:c>
      <x:c r="D1026" s="7" t="n">
        <x:v>93.9104097436</x:v>
      </x:c>
      <x:c r="E1026" s="7" t="str">
        <x:v>SYNTHETIC: seeded teaching dataset; not observed market data</x:v>
      </x:c>
      <x:c r="F1026" s="7" t="n">
        <x:v>46266</x:v>
      </x:c>
    </x:row>
    <x:row r="1027" ht="22" customHeight="1">
      <x:c r="A1027" s="8" t="n">
        <x:v>45876</x:v>
      </x:c>
      <x:c r="B1027" s="7" t="str">
        <x:v>US_ETF</x:v>
      </x:c>
      <x:c r="C1027" s="7" t="n">
        <x:v>93.3029579726</x:v>
      </x:c>
      <x:c r="D1027" s="7" t="n">
        <x:v>93.3029579726</x:v>
      </x:c>
      <x:c r="E1027" s="7" t="str">
        <x:v>SYNTHETIC: seeded teaching dataset; not observed market data</x:v>
      </x:c>
      <x:c r="F1027" s="7" t="n">
        <x:v>46266</x:v>
      </x:c>
    </x:row>
    <x:row r="1028" ht="22" customHeight="1">
      <x:c r="A1028" s="8" t="n">
        <x:v>45877</x:v>
      </x:c>
      <x:c r="B1028" s="7" t="str">
        <x:v>US_ETF</x:v>
      </x:c>
      <x:c r="C1028" s="7" t="n">
        <x:v>94.101900557</x:v>
      </x:c>
      <x:c r="D1028" s="7" t="n">
        <x:v>94.101900557</x:v>
      </x:c>
      <x:c r="E1028" s="7" t="str">
        <x:v>SYNTHETIC: seeded teaching dataset; not observed market data</x:v>
      </x:c>
      <x:c r="F1028" s="7" t="n">
        <x:v>46266</x:v>
      </x:c>
    </x:row>
    <x:row r="1029" ht="22" customHeight="1">
      <x:c r="A1029" s="8" t="n">
        <x:v>45880</x:v>
      </x:c>
      <x:c r="B1029" s="7" t="str">
        <x:v>US_ETF</x:v>
      </x:c>
      <x:c r="C1029" s="7" t="n">
        <x:v>94.2542660315</x:v>
      </x:c>
      <x:c r="D1029" s="7" t="n">
        <x:v>94.2542660315</x:v>
      </x:c>
      <x:c r="E1029" s="7" t="str">
        <x:v>SYNTHETIC: seeded teaching dataset; not observed market data</x:v>
      </x:c>
      <x:c r="F1029" s="7" t="n">
        <x:v>46266</x:v>
      </x:c>
    </x:row>
    <x:row r="1030" ht="22" customHeight="1">
      <x:c r="A1030" s="8" t="n">
        <x:v>45881</x:v>
      </x:c>
      <x:c r="B1030" s="7" t="str">
        <x:v>US_ETF</x:v>
      </x:c>
      <x:c r="C1030" s="7" t="n">
        <x:v>93.70699072</x:v>
      </x:c>
      <x:c r="D1030" s="7" t="n">
        <x:v>93.70699072</x:v>
      </x:c>
      <x:c r="E1030" s="7" t="str">
        <x:v>SYNTHETIC: seeded teaching dataset; not observed market data</x:v>
      </x:c>
      <x:c r="F1030" s="7" t="n">
        <x:v>46266</x:v>
      </x:c>
    </x:row>
    <x:row r="1031" ht="22" customHeight="1">
      <x:c r="A1031" s="8" t="n">
        <x:v>45882</x:v>
      </x:c>
      <x:c r="B1031" s="7" t="str">
        <x:v>US_ETF</x:v>
      </x:c>
      <x:c r="C1031" s="7" t="n">
        <x:v>93.4584642144</x:v>
      </x:c>
      <x:c r="D1031" s="7" t="n">
        <x:v>93.4584642144</x:v>
      </x:c>
      <x:c r="E1031" s="7" t="str">
        <x:v>SYNTHETIC: seeded teaching dataset; not observed market data</x:v>
      </x:c>
      <x:c r="F1031" s="7" t="n">
        <x:v>46266</x:v>
      </x:c>
    </x:row>
    <x:row r="1032" ht="22" customHeight="1">
      <x:c r="A1032" s="8" t="n">
        <x:v>45883</x:v>
      </x:c>
      <x:c r="B1032" s="7" t="str">
        <x:v>US_ETF</x:v>
      </x:c>
      <x:c r="C1032" s="7" t="n">
        <x:v>94.0764559284</x:v>
      </x:c>
      <x:c r="D1032" s="7" t="n">
        <x:v>94.0764559284</x:v>
      </x:c>
      <x:c r="E1032" s="7" t="str">
        <x:v>SYNTHETIC: seeded teaching dataset; not observed market data</x:v>
      </x:c>
      <x:c r="F1032" s="7" t="n">
        <x:v>46266</x:v>
      </x:c>
    </x:row>
    <x:row r="1033" ht="22" customHeight="1">
      <x:c r="A1033" s="8" t="n">
        <x:v>45884</x:v>
      </x:c>
      <x:c r="B1033" s="7" t="str">
        <x:v>US_ETF</x:v>
      </x:c>
      <x:c r="C1033" s="7" t="n">
        <x:v>93.4636480193</x:v>
      </x:c>
      <x:c r="D1033" s="7" t="n">
        <x:v>93.4636480193</x:v>
      </x:c>
      <x:c r="E1033" s="7" t="str">
        <x:v>SYNTHETIC: seeded teaching dataset; not observed market data</x:v>
      </x:c>
      <x:c r="F1033" s="7" t="n">
        <x:v>46266</x:v>
      </x:c>
    </x:row>
    <x:row r="1034" ht="22" customHeight="1">
      <x:c r="A1034" s="8" t="n">
        <x:v>45887</x:v>
      </x:c>
      <x:c r="B1034" s="7" t="str">
        <x:v>US_ETF</x:v>
      </x:c>
      <x:c r="C1034" s="7" t="n">
        <x:v>93.8567550932</x:v>
      </x:c>
      <x:c r="D1034" s="7" t="n">
        <x:v>93.8567550932</x:v>
      </x:c>
      <x:c r="E1034" s="7" t="str">
        <x:v>SYNTHETIC: seeded teaching dataset; not observed market data</x:v>
      </x:c>
      <x:c r="F1034" s="7" t="n">
        <x:v>46266</x:v>
      </x:c>
    </x:row>
    <x:row r="1035" ht="22" customHeight="1">
      <x:c r="A1035" s="8" t="n">
        <x:v>45888</x:v>
      </x:c>
      <x:c r="B1035" s="7" t="str">
        <x:v>US_ETF</x:v>
      </x:c>
      <x:c r="C1035" s="7" t="n">
        <x:v>93.6719085681</x:v>
      </x:c>
      <x:c r="D1035" s="7" t="n">
        <x:v>93.6719085681</x:v>
      </x:c>
      <x:c r="E1035" s="7" t="str">
        <x:v>SYNTHETIC: seeded teaching dataset; not observed market data</x:v>
      </x:c>
      <x:c r="F1035" s="7" t="n">
        <x:v>46266</x:v>
      </x:c>
    </x:row>
    <x:row r="1036" ht="22" customHeight="1">
      <x:c r="A1036" s="8" t="n">
        <x:v>45889</x:v>
      </x:c>
      <x:c r="B1036" s="7" t="str">
        <x:v>US_ETF</x:v>
      </x:c>
      <x:c r="C1036" s="7" t="n">
        <x:v>93.4506955561</x:v>
      </x:c>
      <x:c r="D1036" s="7" t="n">
        <x:v>93.4506955561</x:v>
      </x:c>
      <x:c r="E1036" s="7" t="str">
        <x:v>SYNTHETIC: seeded teaching dataset; not observed market data</x:v>
      </x:c>
      <x:c r="F1036" s="7" t="n">
        <x:v>46266</x:v>
      </x:c>
    </x:row>
    <x:row r="1037" ht="22" customHeight="1">
      <x:c r="A1037" s="8" t="n">
        <x:v>45890</x:v>
      </x:c>
      <x:c r="B1037" s="7" t="str">
        <x:v>US_ETF</x:v>
      </x:c>
      <x:c r="C1037" s="7" t="n">
        <x:v>93.3905122478</x:v>
      </x:c>
      <x:c r="D1037" s="7" t="n">
        <x:v>93.3905122478</x:v>
      </x:c>
      <x:c r="E1037" s="7" t="str">
        <x:v>SYNTHETIC: seeded teaching dataset; not observed market data</x:v>
      </x:c>
      <x:c r="F1037" s="7" t="n">
        <x:v>46266</x:v>
      </x:c>
    </x:row>
    <x:row r="1038" ht="22" customHeight="1">
      <x:c r="A1038" s="8" t="n">
        <x:v>45891</x:v>
      </x:c>
      <x:c r="B1038" s="7" t="str">
        <x:v>US_ETF</x:v>
      </x:c>
      <x:c r="C1038" s="7" t="n">
        <x:v>94.070108667</x:v>
      </x:c>
      <x:c r="D1038" s="7" t="n">
        <x:v>94.070108667</x:v>
      </x:c>
      <x:c r="E1038" s="7" t="str">
        <x:v>SYNTHETIC: seeded teaching dataset; not observed market data</x:v>
      </x:c>
      <x:c r="F1038" s="7" t="n">
        <x:v>46266</x:v>
      </x:c>
    </x:row>
    <x:row r="1039" ht="22" customHeight="1">
      <x:c r="A1039" s="8" t="n">
        <x:v>45894</x:v>
      </x:c>
      <x:c r="B1039" s="7" t="str">
        <x:v>US_ETF</x:v>
      </x:c>
      <x:c r="C1039" s="7" t="n">
        <x:v>93.7076370946</x:v>
      </x:c>
      <x:c r="D1039" s="7" t="n">
        <x:v>93.7076370946</x:v>
      </x:c>
      <x:c r="E1039" s="7" t="str">
        <x:v>SYNTHETIC: seeded teaching dataset; not observed market data</x:v>
      </x:c>
      <x:c r="F1039" s="7" t="n">
        <x:v>46266</x:v>
      </x:c>
    </x:row>
    <x:row r="1040" ht="22" customHeight="1">
      <x:c r="A1040" s="8" t="n">
        <x:v>45895</x:v>
      </x:c>
      <x:c r="B1040" s="7" t="str">
        <x:v>US_ETF</x:v>
      </x:c>
      <x:c r="C1040" s="7" t="n">
        <x:v>93.2497794229</x:v>
      </x:c>
      <x:c r="D1040" s="7" t="n">
        <x:v>93.2497794229</x:v>
      </x:c>
      <x:c r="E1040" s="7" t="str">
        <x:v>SYNTHETIC: seeded teaching dataset; not observed market data</x:v>
      </x:c>
      <x:c r="F1040" s="7" t="n">
        <x:v>46266</x:v>
      </x:c>
    </x:row>
    <x:row r="1041" ht="22" customHeight="1">
      <x:c r="A1041" s="8" t="n">
        <x:v>45896</x:v>
      </x:c>
      <x:c r="B1041" s="7" t="str">
        <x:v>US_ETF</x:v>
      </x:c>
      <x:c r="C1041" s="7" t="n">
        <x:v>92.6366652393</x:v>
      </x:c>
      <x:c r="D1041" s="7" t="n">
        <x:v>92.6366652393</x:v>
      </x:c>
      <x:c r="E1041" s="7" t="str">
        <x:v>SYNTHETIC: seeded teaching dataset; not observed market data</x:v>
      </x:c>
      <x:c r="F1041" s="7" t="n">
        <x:v>46266</x:v>
      </x:c>
    </x:row>
    <x:row r="1042" ht="22" customHeight="1">
      <x:c r="A1042" s="8" t="n">
        <x:v>45897</x:v>
      </x:c>
      <x:c r="B1042" s="7" t="str">
        <x:v>US_ETF</x:v>
      </x:c>
      <x:c r="C1042" s="7" t="n">
        <x:v>92.3518768157</x:v>
      </x:c>
      <x:c r="D1042" s="7" t="n">
        <x:v>92.3518768157</x:v>
      </x:c>
      <x:c r="E1042" s="7" t="str">
        <x:v>SYNTHETIC: seeded teaching dataset; not observed market data</x:v>
      </x:c>
      <x:c r="F1042" s="7" t="n">
        <x:v>46266</x:v>
      </x:c>
    </x:row>
    <x:row r="1043" ht="22" customHeight="1">
      <x:c r="A1043" s="8" t="n">
        <x:v>45898</x:v>
      </x:c>
      <x:c r="B1043" s="7" t="str">
        <x:v>US_ETF</x:v>
      </x:c>
      <x:c r="C1043" s="7" t="n">
        <x:v>91.8388617504</x:v>
      </x:c>
      <x:c r="D1043" s="7" t="n">
        <x:v>91.8388617504</x:v>
      </x:c>
      <x:c r="E1043" s="7" t="str">
        <x:v>SYNTHETIC: seeded teaching dataset; not observed market data</x:v>
      </x:c>
      <x:c r="F1043" s="7" t="n">
        <x:v>46266</x:v>
      </x:c>
    </x:row>
    <x:row r="1044" ht="22" customHeight="1">
      <x:c r="A1044" s="8" t="n">
        <x:v>45901</x:v>
      </x:c>
      <x:c r="B1044" s="7" t="str">
        <x:v>US_ETF</x:v>
      </x:c>
      <x:c r="C1044" s="7" t="n">
        <x:v>91.7313330953</x:v>
      </x:c>
      <x:c r="D1044" s="7" t="n">
        <x:v>91.7313330953</x:v>
      </x:c>
      <x:c r="E1044" s="7" t="str">
        <x:v>SYNTHETIC: seeded teaching dataset; not observed market data</x:v>
      </x:c>
      <x:c r="F1044" s="7" t="n">
        <x:v>46266</x:v>
      </x:c>
    </x:row>
    <x:row r="1045" ht="22" customHeight="1">
      <x:c r="A1045" s="8" t="n">
        <x:v>45902</x:v>
      </x:c>
      <x:c r="B1045" s="7" t="str">
        <x:v>US_ETF</x:v>
      </x:c>
      <x:c r="C1045" s="7" t="n">
        <x:v>91.9646229479</x:v>
      </x:c>
      <x:c r="D1045" s="7" t="n">
        <x:v>91.9646229479</x:v>
      </x:c>
      <x:c r="E1045" s="7" t="str">
        <x:v>SYNTHETIC: seeded teaching dataset; not observed market data</x:v>
      </x:c>
      <x:c r="F1045" s="7" t="n">
        <x:v>46266</x:v>
      </x:c>
    </x:row>
    <x:row r="1046" ht="22" customHeight="1">
      <x:c r="A1046" s="8" t="n">
        <x:v>45903</x:v>
      </x:c>
      <x:c r="B1046" s="7" t="str">
        <x:v>US_ETF</x:v>
      </x:c>
      <x:c r="C1046" s="7" t="n">
        <x:v>91.6219220569</x:v>
      </x:c>
      <x:c r="D1046" s="7" t="n">
        <x:v>91.6219220569</x:v>
      </x:c>
      <x:c r="E1046" s="7" t="str">
        <x:v>SYNTHETIC: seeded teaching dataset; not observed market data</x:v>
      </x:c>
      <x:c r="F1046" s="7" t="n">
        <x:v>46266</x:v>
      </x:c>
    </x:row>
    <x:row r="1047" ht="22" customHeight="1">
      <x:c r="A1047" s="8" t="n">
        <x:v>45904</x:v>
      </x:c>
      <x:c r="B1047" s="7" t="str">
        <x:v>US_ETF</x:v>
      </x:c>
      <x:c r="C1047" s="7" t="n">
        <x:v>91.5843278357</x:v>
      </x:c>
      <x:c r="D1047" s="7" t="n">
        <x:v>91.5843278357</x:v>
      </x:c>
      <x:c r="E1047" s="7" t="str">
        <x:v>SYNTHETIC: seeded teaching dataset; not observed market data</x:v>
      </x:c>
      <x:c r="F1047" s="7" t="n">
        <x:v>46266</x:v>
      </x:c>
    </x:row>
    <x:row r="1048" ht="22" customHeight="1">
      <x:c r="A1048" s="8" t="n">
        <x:v>45905</x:v>
      </x:c>
      <x:c r="B1048" s="7" t="str">
        <x:v>US_ETF</x:v>
      </x:c>
      <x:c r="C1048" s="7" t="n">
        <x:v>91.5191394593</x:v>
      </x:c>
      <x:c r="D1048" s="7" t="n">
        <x:v>91.5191394593</x:v>
      </x:c>
      <x:c r="E1048" s="7" t="str">
        <x:v>SYNTHETIC: seeded teaching dataset; not observed market data</x:v>
      </x:c>
      <x:c r="F1048" s="7" t="n">
        <x:v>46266</x:v>
      </x:c>
    </x:row>
    <x:row r="1049" ht="22" customHeight="1">
      <x:c r="A1049" s="8" t="n">
        <x:v>45908</x:v>
      </x:c>
      <x:c r="B1049" s="7" t="str">
        <x:v>US_ETF</x:v>
      </x:c>
      <x:c r="C1049" s="7" t="n">
        <x:v>90.7630169433</x:v>
      </x:c>
      <x:c r="D1049" s="7" t="n">
        <x:v>90.7630169433</x:v>
      </x:c>
      <x:c r="E1049" s="7" t="str">
        <x:v>SYNTHETIC: seeded teaching dataset; not observed market data</x:v>
      </x:c>
      <x:c r="F1049" s="7" t="n">
        <x:v>46266</x:v>
      </x:c>
    </x:row>
    <x:row r="1050" ht="22" customHeight="1">
      <x:c r="A1050" s="8" t="n">
        <x:v>45909</x:v>
      </x:c>
      <x:c r="B1050" s="7" t="str">
        <x:v>US_ETF</x:v>
      </x:c>
      <x:c r="C1050" s="7" t="n">
        <x:v>91.068223502</x:v>
      </x:c>
      <x:c r="D1050" s="7" t="n">
        <x:v>91.068223502</x:v>
      </x:c>
      <x:c r="E1050" s="7" t="str">
        <x:v>SYNTHETIC: seeded teaching dataset; not observed market data</x:v>
      </x:c>
      <x:c r="F1050" s="7" t="n">
        <x:v>46266</x:v>
      </x:c>
    </x:row>
    <x:row r="1051" ht="22" customHeight="1">
      <x:c r="A1051" s="8" t="n">
        <x:v>45910</x:v>
      </x:c>
      <x:c r="B1051" s="7" t="str">
        <x:v>US_ETF</x:v>
      </x:c>
      <x:c r="C1051" s="7" t="n">
        <x:v>90.921631573</x:v>
      </x:c>
      <x:c r="D1051" s="7" t="n">
        <x:v>90.921631573</x:v>
      </x:c>
      <x:c r="E1051" s="7" t="str">
        <x:v>SYNTHETIC: seeded teaching dataset; not observed market data</x:v>
      </x:c>
      <x:c r="F1051" s="7" t="n">
        <x:v>46266</x:v>
      </x:c>
    </x:row>
    <x:row r="1052" ht="22" customHeight="1">
      <x:c r="A1052" s="8" t="n">
        <x:v>45911</x:v>
      </x:c>
      <x:c r="B1052" s="7" t="str">
        <x:v>US_ETF</x:v>
      </x:c>
      <x:c r="C1052" s="7" t="n">
        <x:v>90.5566179322</x:v>
      </x:c>
      <x:c r="D1052" s="7" t="n">
        <x:v>90.5566179322</x:v>
      </x:c>
      <x:c r="E1052" s="7" t="str">
        <x:v>SYNTHETIC: seeded teaching dataset; not observed market data</x:v>
      </x:c>
      <x:c r="F1052" s="7" t="n">
        <x:v>46266</x:v>
      </x:c>
    </x:row>
    <x:row r="1053" ht="22" customHeight="1">
      <x:c r="A1053" s="8" t="n">
        <x:v>45912</x:v>
      </x:c>
      <x:c r="B1053" s="7" t="str">
        <x:v>US_ETF</x:v>
      </x:c>
      <x:c r="C1053" s="7" t="n">
        <x:v>91.0915135492</x:v>
      </x:c>
      <x:c r="D1053" s="7" t="n">
        <x:v>91.0915135492</x:v>
      </x:c>
      <x:c r="E1053" s="7" t="str">
        <x:v>SYNTHETIC: seeded teaching dataset; not observed market data</x:v>
      </x:c>
      <x:c r="F1053" s="7" t="n">
        <x:v>46266</x:v>
      </x:c>
    </x:row>
    <x:row r="1054" ht="22" customHeight="1">
      <x:c r="A1054" s="8" t="n">
        <x:v>45915</x:v>
      </x:c>
      <x:c r="B1054" s="7" t="str">
        <x:v>US_ETF</x:v>
      </x:c>
      <x:c r="C1054" s="7" t="n">
        <x:v>90.6322351571</x:v>
      </x:c>
      <x:c r="D1054" s="7" t="n">
        <x:v>90.6322351571</x:v>
      </x:c>
      <x:c r="E1054" s="7" t="str">
        <x:v>SYNTHETIC: seeded teaching dataset; not observed market data</x:v>
      </x:c>
      <x:c r="F1054" s="7" t="n">
        <x:v>46266</x:v>
      </x:c>
    </x:row>
    <x:row r="1055" ht="22" customHeight="1">
      <x:c r="A1055" s="8" t="n">
        <x:v>45916</x:v>
      </x:c>
      <x:c r="B1055" s="7" t="str">
        <x:v>US_ETF</x:v>
      </x:c>
      <x:c r="C1055" s="7" t="n">
        <x:v>90.6480347796</x:v>
      </x:c>
      <x:c r="D1055" s="7" t="n">
        <x:v>90.6480347796</x:v>
      </x:c>
      <x:c r="E1055" s="7" t="str">
        <x:v>SYNTHETIC: seeded teaching dataset; not observed market data</x:v>
      </x:c>
      <x:c r="F1055" s="7" t="n">
        <x:v>46266</x:v>
      </x:c>
    </x:row>
    <x:row r="1056" ht="22" customHeight="1">
      <x:c r="A1056" s="8" t="n">
        <x:v>45917</x:v>
      </x:c>
      <x:c r="B1056" s="7" t="str">
        <x:v>US_ETF</x:v>
      </x:c>
      <x:c r="C1056" s="7" t="n">
        <x:v>91.4790744466</x:v>
      </x:c>
      <x:c r="D1056" s="7" t="n">
        <x:v>91.4790744466</x:v>
      </x:c>
      <x:c r="E1056" s="7" t="str">
        <x:v>SYNTHETIC: seeded teaching dataset; not observed market data</x:v>
      </x:c>
      <x:c r="F1056" s="7" t="n">
        <x:v>46266</x:v>
      </x:c>
    </x:row>
    <x:row r="1057" ht="22" customHeight="1">
      <x:c r="A1057" s="8" t="n">
        <x:v>45918</x:v>
      </x:c>
      <x:c r="B1057" s="7" t="str">
        <x:v>US_ETF</x:v>
      </x:c>
      <x:c r="C1057" s="7" t="n">
        <x:v>91.4823313125</x:v>
      </x:c>
      <x:c r="D1057" s="7" t="n">
        <x:v>91.4823313125</x:v>
      </x:c>
      <x:c r="E1057" s="7" t="str">
        <x:v>SYNTHETIC: seeded teaching dataset; not observed market data</x:v>
      </x:c>
      <x:c r="F1057" s="7" t="n">
        <x:v>46266</x:v>
      </x:c>
    </x:row>
    <x:row r="1058" ht="22" customHeight="1">
      <x:c r="A1058" s="8" t="n">
        <x:v>45919</x:v>
      </x:c>
      <x:c r="B1058" s="7" t="str">
        <x:v>US_ETF</x:v>
      </x:c>
      <x:c r="C1058" s="7" t="n">
        <x:v>91.5726125064</x:v>
      </x:c>
      <x:c r="D1058" s="7" t="n">
        <x:v>91.5726125064</x:v>
      </x:c>
      <x:c r="E1058" s="7" t="str">
        <x:v>SYNTHETIC: seeded teaching dataset; not observed market data</x:v>
      </x:c>
      <x:c r="F1058" s="7" t="n">
        <x:v>46266</x:v>
      </x:c>
    </x:row>
    <x:row r="1059" ht="22" customHeight="1">
      <x:c r="A1059" s="8" t="n">
        <x:v>45922</x:v>
      </x:c>
      <x:c r="B1059" s="7" t="str">
        <x:v>US_ETF</x:v>
      </x:c>
      <x:c r="C1059" s="7" t="n">
        <x:v>91.1319204592</x:v>
      </x:c>
      <x:c r="D1059" s="7" t="n">
        <x:v>91.1319204592</x:v>
      </x:c>
      <x:c r="E1059" s="7" t="str">
        <x:v>SYNTHETIC: seeded teaching dataset; not observed market data</x:v>
      </x:c>
      <x:c r="F1059" s="7" t="n">
        <x:v>46266</x:v>
      </x:c>
    </x:row>
    <x:row r="1060" ht="22" customHeight="1">
      <x:c r="A1060" s="8" t="n">
        <x:v>45923</x:v>
      </x:c>
      <x:c r="B1060" s="7" t="str">
        <x:v>US_ETF</x:v>
      </x:c>
      <x:c r="C1060" s="7" t="n">
        <x:v>91.4094496224</x:v>
      </x:c>
      <x:c r="D1060" s="7" t="n">
        <x:v>91.4094496224</x:v>
      </x:c>
      <x:c r="E1060" s="7" t="str">
        <x:v>SYNTHETIC: seeded teaching dataset; not observed market data</x:v>
      </x:c>
      <x:c r="F1060" s="7" t="n">
        <x:v>46266</x:v>
      </x:c>
    </x:row>
    <x:row r="1061" ht="22" customHeight="1">
      <x:c r="A1061" s="8" t="n">
        <x:v>45924</x:v>
      </x:c>
      <x:c r="B1061" s="7" t="str">
        <x:v>US_ETF</x:v>
      </x:c>
      <x:c r="C1061" s="7" t="n">
        <x:v>91.0625336976</x:v>
      </x:c>
      <x:c r="D1061" s="7" t="n">
        <x:v>91.0625336976</x:v>
      </x:c>
      <x:c r="E1061" s="7" t="str">
        <x:v>SYNTHETIC: seeded teaching dataset; not observed market data</x:v>
      </x:c>
      <x:c r="F1061" s="7" t="n">
        <x:v>46266</x:v>
      </x:c>
    </x:row>
    <x:row r="1062" ht="22" customHeight="1">
      <x:c r="A1062" s="8" t="n">
        <x:v>45925</x:v>
      </x:c>
      <x:c r="B1062" s="7" t="str">
        <x:v>US_ETF</x:v>
      </x:c>
      <x:c r="C1062" s="7" t="n">
        <x:v>90.7242430385</x:v>
      </x:c>
      <x:c r="D1062" s="7" t="n">
        <x:v>90.7242430385</x:v>
      </x:c>
      <x:c r="E1062" s="7" t="str">
        <x:v>SYNTHETIC: seeded teaching dataset; not observed market data</x:v>
      </x:c>
      <x:c r="F1062" s="7" t="n">
        <x:v>46266</x:v>
      </x:c>
    </x:row>
    <x:row r="1063" ht="22" customHeight="1">
      <x:c r="A1063" s="8" t="n">
        <x:v>45926</x:v>
      </x:c>
      <x:c r="B1063" s="7" t="str">
        <x:v>US_ETF</x:v>
      </x:c>
      <x:c r="C1063" s="7" t="n">
        <x:v>90.2217602681</x:v>
      </x:c>
      <x:c r="D1063" s="7" t="n">
        <x:v>90.2217602681</x:v>
      </x:c>
      <x:c r="E1063" s="7" t="str">
        <x:v>SYNTHETIC: seeded teaching dataset; not observed market data</x:v>
      </x:c>
      <x:c r="F1063" s="7" t="n">
        <x:v>46266</x:v>
      </x:c>
    </x:row>
    <x:row r="1064" ht="22" customHeight="1">
      <x:c r="A1064" s="8" t="n">
        <x:v>45929</x:v>
      </x:c>
      <x:c r="B1064" s="7" t="str">
        <x:v>US_ETF</x:v>
      </x:c>
      <x:c r="C1064" s="7" t="n">
        <x:v>90.4908120105</x:v>
      </x:c>
      <x:c r="D1064" s="7" t="n">
        <x:v>90.4908120105</x:v>
      </x:c>
      <x:c r="E1064" s="7" t="str">
        <x:v>SYNTHETIC: seeded teaching dataset; not observed market data</x:v>
      </x:c>
      <x:c r="F1064" s="7" t="n">
        <x:v>46266</x:v>
      </x:c>
    </x:row>
    <x:row r="1065" ht="22" customHeight="1">
      <x:c r="A1065" s="8" t="n">
        <x:v>45930</x:v>
      </x:c>
      <x:c r="B1065" s="7" t="str">
        <x:v>US_ETF</x:v>
      </x:c>
      <x:c r="C1065" s="7" t="n">
        <x:v>91.1213486824</x:v>
      </x:c>
      <x:c r="D1065" s="7" t="n">
        <x:v>91.1213486824</x:v>
      </x:c>
      <x:c r="E1065" s="7" t="str">
        <x:v>SYNTHETIC: seeded teaching dataset; not observed market data</x:v>
      </x:c>
      <x:c r="F1065" s="7" t="n">
        <x:v>46266</x:v>
      </x:c>
    </x:row>
    <x:row r="1066" ht="22" customHeight="1">
      <x:c r="A1066" s="8" t="n">
        <x:v>45931</x:v>
      </x:c>
      <x:c r="B1066" s="7" t="str">
        <x:v>US_ETF</x:v>
      </x:c>
      <x:c r="C1066" s="7" t="n">
        <x:v>91.5987273382</x:v>
      </x:c>
      <x:c r="D1066" s="7" t="n">
        <x:v>91.5987273382</x:v>
      </x:c>
      <x:c r="E1066" s="7" t="str">
        <x:v>SYNTHETIC: seeded teaching dataset; not observed market data</x:v>
      </x:c>
      <x:c r="F1066" s="7" t="n">
        <x:v>46266</x:v>
      </x:c>
    </x:row>
    <x:row r="1067" ht="22" customHeight="1">
      <x:c r="A1067" s="8" t="n">
        <x:v>45932</x:v>
      </x:c>
      <x:c r="B1067" s="7" t="str">
        <x:v>US_ETF</x:v>
      </x:c>
      <x:c r="C1067" s="7" t="n">
        <x:v>91.5845229498</x:v>
      </x:c>
      <x:c r="D1067" s="7" t="n">
        <x:v>91.5845229498</x:v>
      </x:c>
      <x:c r="E1067" s="7" t="str">
        <x:v>SYNTHETIC: seeded teaching dataset; not observed market data</x:v>
      </x:c>
      <x:c r="F1067" s="7" t="n">
        <x:v>46266</x:v>
      </x:c>
    </x:row>
    <x:row r="1068" ht="22" customHeight="1">
      <x:c r="A1068" s="8" t="n">
        <x:v>45933</x:v>
      </x:c>
      <x:c r="B1068" s="7" t="str">
        <x:v>US_ETF</x:v>
      </x:c>
      <x:c r="C1068" s="7" t="n">
        <x:v>91.0460798984</x:v>
      </x:c>
      <x:c r="D1068" s="7" t="n">
        <x:v>91.0460798984</x:v>
      </x:c>
      <x:c r="E1068" s="7" t="str">
        <x:v>SYNTHETIC: seeded teaching dataset; not observed market data</x:v>
      </x:c>
      <x:c r="F1068" s="7" t="n">
        <x:v>46266</x:v>
      </x:c>
    </x:row>
    <x:row r="1069" ht="22" customHeight="1">
      <x:c r="A1069" s="8" t="n">
        <x:v>45936</x:v>
      </x:c>
      <x:c r="B1069" s="7" t="str">
        <x:v>US_ETF</x:v>
      </x:c>
      <x:c r="C1069" s="7" t="n">
        <x:v>91.316297107</x:v>
      </x:c>
      <x:c r="D1069" s="7" t="n">
        <x:v>91.316297107</x:v>
      </x:c>
      <x:c r="E1069" s="7" t="str">
        <x:v>SYNTHETIC: seeded teaching dataset; not observed market data</x:v>
      </x:c>
      <x:c r="F1069" s="7" t="n">
        <x:v>46266</x:v>
      </x:c>
    </x:row>
    <x:row r="1070" ht="22" customHeight="1">
      <x:c r="A1070" s="8" t="n">
        <x:v>45937</x:v>
      </x:c>
      <x:c r="B1070" s="7" t="str">
        <x:v>US_ETF</x:v>
      </x:c>
      <x:c r="C1070" s="7" t="n">
        <x:v>91.6959080946</x:v>
      </x:c>
      <x:c r="D1070" s="7" t="n">
        <x:v>91.6959080946</x:v>
      </x:c>
      <x:c r="E1070" s="7" t="str">
        <x:v>SYNTHETIC: seeded teaching dataset; not observed market data</x:v>
      </x:c>
      <x:c r="F1070" s="7" t="n">
        <x:v>46266</x:v>
      </x:c>
    </x:row>
    <x:row r="1071" ht="22" customHeight="1">
      <x:c r="A1071" s="8" t="n">
        <x:v>45938</x:v>
      </x:c>
      <x:c r="B1071" s="7" t="str">
        <x:v>US_ETF</x:v>
      </x:c>
      <x:c r="C1071" s="7" t="n">
        <x:v>91.5288673177</x:v>
      </x:c>
      <x:c r="D1071" s="7" t="n">
        <x:v>91.5288673177</x:v>
      </x:c>
      <x:c r="E1071" s="7" t="str">
        <x:v>SYNTHETIC: seeded teaching dataset; not observed market data</x:v>
      </x:c>
      <x:c r="F1071" s="7" t="n">
        <x:v>46266</x:v>
      </x:c>
    </x:row>
    <x:row r="1072" ht="22" customHeight="1">
      <x:c r="A1072" s="8" t="n">
        <x:v>45939</x:v>
      </x:c>
      <x:c r="B1072" s="7" t="str">
        <x:v>US_ETF</x:v>
      </x:c>
      <x:c r="C1072" s="7" t="n">
        <x:v>91.4489867422</x:v>
      </x:c>
      <x:c r="D1072" s="7" t="n">
        <x:v>91.4489867422</x:v>
      </x:c>
      <x:c r="E1072" s="7" t="str">
        <x:v>SYNTHETIC: seeded teaching dataset; not observed market data</x:v>
      </x:c>
      <x:c r="F1072" s="7" t="n">
        <x:v>46266</x:v>
      </x:c>
    </x:row>
    <x:row r="1073" ht="22" customHeight="1">
      <x:c r="A1073" s="8" t="n">
        <x:v>45940</x:v>
      </x:c>
      <x:c r="B1073" s="7" t="str">
        <x:v>US_ETF</x:v>
      </x:c>
      <x:c r="C1073" s="7" t="n">
        <x:v>91.1361364891</x:v>
      </x:c>
      <x:c r="D1073" s="7" t="n">
        <x:v>91.1361364891</x:v>
      </x:c>
      <x:c r="E1073" s="7" t="str">
        <x:v>SYNTHETIC: seeded teaching dataset; not observed market data</x:v>
      </x:c>
      <x:c r="F1073" s="7" t="n">
        <x:v>46266</x:v>
      </x:c>
    </x:row>
    <x:row r="1074" ht="22" customHeight="1">
      <x:c r="A1074" s="8" t="n">
        <x:v>45943</x:v>
      </x:c>
      <x:c r="B1074" s="7" t="str">
        <x:v>US_ETF</x:v>
      </x:c>
      <x:c r="C1074" s="7" t="n">
        <x:v>91.1893681353</x:v>
      </x:c>
      <x:c r="D1074" s="7" t="n">
        <x:v>91.1893681353</x:v>
      </x:c>
      <x:c r="E1074" s="7" t="str">
        <x:v>SYNTHETIC: seeded teaching dataset; not observed market data</x:v>
      </x:c>
      <x:c r="F1074" s="7" t="n">
        <x:v>46266</x:v>
      </x:c>
    </x:row>
    <x:row r="1075" ht="22" customHeight="1">
      <x:c r="A1075" s="8" t="n">
        <x:v>45944</x:v>
      </x:c>
      <x:c r="B1075" s="7" t="str">
        <x:v>US_ETF</x:v>
      </x:c>
      <x:c r="C1075" s="7" t="n">
        <x:v>90.9363772212</x:v>
      </x:c>
      <x:c r="D1075" s="7" t="n">
        <x:v>90.9363772212</x:v>
      </x:c>
      <x:c r="E1075" s="7" t="str">
        <x:v>SYNTHETIC: seeded teaching dataset; not observed market data</x:v>
      </x:c>
      <x:c r="F1075" s="7" t="n">
        <x:v>46266</x:v>
      </x:c>
    </x:row>
    <x:row r="1076" ht="22" customHeight="1">
      <x:c r="A1076" s="8" t="n">
        <x:v>45945</x:v>
      </x:c>
      <x:c r="B1076" s="7" t="str">
        <x:v>US_ETF</x:v>
      </x:c>
      <x:c r="C1076" s="7" t="n">
        <x:v>90.9630108895</x:v>
      </x:c>
      <x:c r="D1076" s="7" t="n">
        <x:v>90.9630108895</x:v>
      </x:c>
      <x:c r="E1076" s="7" t="str">
        <x:v>SYNTHETIC: seeded teaching dataset; not observed market data</x:v>
      </x:c>
      <x:c r="F1076" s="7" t="n">
        <x:v>46266</x:v>
      </x:c>
    </x:row>
    <x:row r="1077" ht="22" customHeight="1">
      <x:c r="A1077" s="8" t="n">
        <x:v>45946</x:v>
      </x:c>
      <x:c r="B1077" s="7" t="str">
        <x:v>US_ETF</x:v>
      </x:c>
      <x:c r="C1077" s="7" t="n">
        <x:v>90.9213009734</x:v>
      </x:c>
      <x:c r="D1077" s="7" t="n">
        <x:v>90.9213009734</x:v>
      </x:c>
      <x:c r="E1077" s="7" t="str">
        <x:v>SYNTHETIC: seeded teaching dataset; not observed market data</x:v>
      </x:c>
      <x:c r="F1077" s="7" t="n">
        <x:v>46266</x:v>
      </x:c>
    </x:row>
    <x:row r="1078" ht="22" customHeight="1">
      <x:c r="A1078" s="8" t="n">
        <x:v>45947</x:v>
      </x:c>
      <x:c r="B1078" s="7" t="str">
        <x:v>US_ETF</x:v>
      </x:c>
      <x:c r="C1078" s="7" t="n">
        <x:v>90.6694560185</x:v>
      </x:c>
      <x:c r="D1078" s="7" t="n">
        <x:v>90.6694560185</x:v>
      </x:c>
      <x:c r="E1078" s="7" t="str">
        <x:v>SYNTHETIC: seeded teaching dataset; not observed market data</x:v>
      </x:c>
      <x:c r="F1078" s="7" t="n">
        <x:v>46266</x:v>
      </x:c>
    </x:row>
    <x:row r="1079" ht="22" customHeight="1">
      <x:c r="A1079" s="8" t="n">
        <x:v>45950</x:v>
      </x:c>
      <x:c r="B1079" s="7" t="str">
        <x:v>US_ETF</x:v>
      </x:c>
      <x:c r="C1079" s="7" t="n">
        <x:v>90.4986399963</x:v>
      </x:c>
      <x:c r="D1079" s="7" t="n">
        <x:v>90.4986399963</x:v>
      </x:c>
      <x:c r="E1079" s="7" t="str">
        <x:v>SYNTHETIC: seeded teaching dataset; not observed market data</x:v>
      </x:c>
      <x:c r="F1079" s="7" t="n">
        <x:v>46266</x:v>
      </x:c>
    </x:row>
    <x:row r="1080" ht="22" customHeight="1">
      <x:c r="A1080" s="8" t="n">
        <x:v>45951</x:v>
      </x:c>
      <x:c r="B1080" s="7" t="str">
        <x:v>US_ETF</x:v>
      </x:c>
      <x:c r="C1080" s="7" t="n">
        <x:v>90.5812205284</x:v>
      </x:c>
      <x:c r="D1080" s="7" t="n">
        <x:v>90.5812205284</x:v>
      </x:c>
      <x:c r="E1080" s="7" t="str">
        <x:v>SYNTHETIC: seeded teaching dataset; not observed market data</x:v>
      </x:c>
      <x:c r="F1080" s="7" t="n">
        <x:v>46266</x:v>
      </x:c>
    </x:row>
    <x:row r="1081" ht="22" customHeight="1">
      <x:c r="A1081" s="8" t="n">
        <x:v>45952</x:v>
      </x:c>
      <x:c r="B1081" s="7" t="str">
        <x:v>US_ETF</x:v>
      </x:c>
      <x:c r="C1081" s="7" t="n">
        <x:v>90.1663177486</x:v>
      </x:c>
      <x:c r="D1081" s="7" t="n">
        <x:v>90.1663177486</x:v>
      </x:c>
      <x:c r="E1081" s="7" t="str">
        <x:v>SYNTHETIC: seeded teaching dataset; not observed market data</x:v>
      </x:c>
      <x:c r="F1081" s="7" t="n">
        <x:v>46266</x:v>
      </x:c>
    </x:row>
    <x:row r="1082" ht="22" customHeight="1">
      <x:c r="A1082" s="8" t="n">
        <x:v>45953</x:v>
      </x:c>
      <x:c r="B1082" s="7" t="str">
        <x:v>US_ETF</x:v>
      </x:c>
      <x:c r="C1082" s="7" t="n">
        <x:v>89.2783079643</x:v>
      </x:c>
      <x:c r="D1082" s="7" t="n">
        <x:v>89.2783079643</x:v>
      </x:c>
      <x:c r="E1082" s="7" t="str">
        <x:v>SYNTHETIC: seeded teaching dataset; not observed market data</x:v>
      </x:c>
      <x:c r="F1082" s="7" t="n">
        <x:v>46266</x:v>
      </x:c>
    </x:row>
    <x:row r="1083" ht="22" customHeight="1">
      <x:c r="A1083" s="8" t="n">
        <x:v>45954</x:v>
      </x:c>
      <x:c r="B1083" s="7" t="str">
        <x:v>US_ETF</x:v>
      </x:c>
      <x:c r="C1083" s="7" t="n">
        <x:v>89.6368065058</x:v>
      </x:c>
      <x:c r="D1083" s="7" t="n">
        <x:v>89.6368065058</x:v>
      </x:c>
      <x:c r="E1083" s="7" t="str">
        <x:v>SYNTHETIC: seeded teaching dataset; not observed market data</x:v>
      </x:c>
      <x:c r="F1083" s="7" t="n">
        <x:v>46266</x:v>
      </x:c>
    </x:row>
    <x:row r="1084" ht="22" customHeight="1">
      <x:c r="A1084" s="8" t="n">
        <x:v>45957</x:v>
      </x:c>
      <x:c r="B1084" s="7" t="str">
        <x:v>US_ETF</x:v>
      </x:c>
      <x:c r="C1084" s="7" t="n">
        <x:v>89.2634213861</x:v>
      </x:c>
      <x:c r="D1084" s="7" t="n">
        <x:v>89.2634213861</x:v>
      </x:c>
      <x:c r="E1084" s="7" t="str">
        <x:v>SYNTHETIC: seeded teaching dataset; not observed market data</x:v>
      </x:c>
      <x:c r="F1084" s="7" t="n">
        <x:v>46266</x:v>
      </x:c>
    </x:row>
    <x:row r="1085" ht="22" customHeight="1">
      <x:c r="A1085" s="8" t="n">
        <x:v>45958</x:v>
      </x:c>
      <x:c r="B1085" s="7" t="str">
        <x:v>US_ETF</x:v>
      </x:c>
      <x:c r="C1085" s="7" t="n">
        <x:v>89.1861278048</x:v>
      </x:c>
      <x:c r="D1085" s="7" t="n">
        <x:v>89.1861278048</x:v>
      </x:c>
      <x:c r="E1085" s="7" t="str">
        <x:v>SYNTHETIC: seeded teaching dataset; not observed market data</x:v>
      </x:c>
      <x:c r="F1085" s="7" t="n">
        <x:v>46266</x:v>
      </x:c>
    </x:row>
    <x:row r="1086" ht="22" customHeight="1">
      <x:c r="A1086" s="8" t="n">
        <x:v>45959</x:v>
      </x:c>
      <x:c r="B1086" s="7" t="str">
        <x:v>US_ETF</x:v>
      </x:c>
      <x:c r="C1086" s="7" t="n">
        <x:v>89.4064138534</x:v>
      </x:c>
      <x:c r="D1086" s="7" t="n">
        <x:v>89.4064138534</x:v>
      </x:c>
      <x:c r="E1086" s="7" t="str">
        <x:v>SYNTHETIC: seeded teaching dataset; not observed market data</x:v>
      </x:c>
      <x:c r="F1086" s="7" t="n">
        <x:v>46266</x:v>
      </x:c>
    </x:row>
    <x:row r="1087" ht="22" customHeight="1">
      <x:c r="A1087" s="8" t="n">
        <x:v>45960</x:v>
      </x:c>
      <x:c r="B1087" s="7" t="str">
        <x:v>US_ETF</x:v>
      </x:c>
      <x:c r="C1087" s="7" t="n">
        <x:v>89.6077257164</x:v>
      </x:c>
      <x:c r="D1087" s="7" t="n">
        <x:v>89.6077257164</x:v>
      </x:c>
      <x:c r="E1087" s="7" t="str">
        <x:v>SYNTHETIC: seeded teaching dataset; not observed market data</x:v>
      </x:c>
      <x:c r="F1087" s="7" t="n">
        <x:v>46266</x:v>
      </x:c>
    </x:row>
    <x:row r="1088" ht="22" customHeight="1">
      <x:c r="A1088" s="8" t="n">
        <x:v>45961</x:v>
      </x:c>
      <x:c r="B1088" s="7" t="str">
        <x:v>US_ETF</x:v>
      </x:c>
      <x:c r="C1088" s="7" t="n">
        <x:v>89.6422625113</x:v>
      </x:c>
      <x:c r="D1088" s="7" t="n">
        <x:v>89.6422625113</x:v>
      </x:c>
      <x:c r="E1088" s="7" t="str">
        <x:v>SYNTHETIC: seeded teaching dataset; not observed market data</x:v>
      </x:c>
      <x:c r="F1088" s="7" t="n">
        <x:v>46266</x:v>
      </x:c>
    </x:row>
    <x:row r="1089" ht="22" customHeight="1">
      <x:c r="A1089" s="8" t="n">
        <x:v>45964</x:v>
      </x:c>
      <x:c r="B1089" s="7" t="str">
        <x:v>US_ETF</x:v>
      </x:c>
      <x:c r="C1089" s="7" t="n">
        <x:v>89.8517577963</x:v>
      </x:c>
      <x:c r="D1089" s="7" t="n">
        <x:v>89.8517577963</x:v>
      </x:c>
      <x:c r="E1089" s="7" t="str">
        <x:v>SYNTHETIC: seeded teaching dataset; not observed market data</x:v>
      </x:c>
      <x:c r="F1089" s="7" t="n">
        <x:v>46266</x:v>
      </x:c>
    </x:row>
    <x:row r="1090" ht="22" customHeight="1">
      <x:c r="A1090" s="8" t="n">
        <x:v>45965</x:v>
      </x:c>
      <x:c r="B1090" s="7" t="str">
        <x:v>US_ETF</x:v>
      </x:c>
      <x:c r="C1090" s="7" t="n">
        <x:v>89.7445374494</x:v>
      </x:c>
      <x:c r="D1090" s="7" t="n">
        <x:v>89.7445374494</x:v>
      </x:c>
      <x:c r="E1090" s="7" t="str">
        <x:v>SYNTHETIC: seeded teaching dataset; not observed market data</x:v>
      </x:c>
      <x:c r="F1090" s="7" t="n">
        <x:v>46266</x:v>
      </x:c>
    </x:row>
    <x:row r="1091" ht="22" customHeight="1">
      <x:c r="A1091" s="8" t="n">
        <x:v>45966</x:v>
      </x:c>
      <x:c r="B1091" s="7" t="str">
        <x:v>US_ETF</x:v>
      </x:c>
      <x:c r="C1091" s="7" t="n">
        <x:v>90.0929032023</x:v>
      </x:c>
      <x:c r="D1091" s="7" t="n">
        <x:v>90.0929032023</x:v>
      </x:c>
      <x:c r="E1091" s="7" t="str">
        <x:v>SYNTHETIC: seeded teaching dataset; not observed market data</x:v>
      </x:c>
      <x:c r="F1091" s="7" t="n">
        <x:v>46266</x:v>
      </x:c>
    </x:row>
    <x:row r="1092" ht="22" customHeight="1">
      <x:c r="A1092" s="8" t="n">
        <x:v>45967</x:v>
      </x:c>
      <x:c r="B1092" s="7" t="str">
        <x:v>US_ETF</x:v>
      </x:c>
      <x:c r="C1092" s="7" t="n">
        <x:v>90.2853320662</x:v>
      </x:c>
      <x:c r="D1092" s="7" t="n">
        <x:v>90.2853320662</x:v>
      </x:c>
      <x:c r="E1092" s="7" t="str">
        <x:v>SYNTHETIC: seeded teaching dataset; not observed market data</x:v>
      </x:c>
      <x:c r="F1092" s="7" t="n">
        <x:v>46266</x:v>
      </x:c>
    </x:row>
    <x:row r="1093" ht="22" customHeight="1">
      <x:c r="A1093" s="8" t="n">
        <x:v>45968</x:v>
      </x:c>
      <x:c r="B1093" s="7" t="str">
        <x:v>US_ETF</x:v>
      </x:c>
      <x:c r="C1093" s="7" t="n">
        <x:v>90.1639005432</x:v>
      </x:c>
      <x:c r="D1093" s="7" t="n">
        <x:v>90.1639005432</x:v>
      </x:c>
      <x:c r="E1093" s="7" t="str">
        <x:v>SYNTHETIC: seeded teaching dataset; not observed market data</x:v>
      </x:c>
      <x:c r="F1093" s="7" t="n">
        <x:v>46266</x:v>
      </x:c>
    </x:row>
    <x:row r="1094" ht="22" customHeight="1">
      <x:c r="A1094" s="8" t="n">
        <x:v>45971</x:v>
      </x:c>
      <x:c r="B1094" s="7" t="str">
        <x:v>US_ETF</x:v>
      </x:c>
      <x:c r="C1094" s="7" t="n">
        <x:v>90.1962433397</x:v>
      </x:c>
      <x:c r="D1094" s="7" t="n">
        <x:v>90.1962433397</x:v>
      </x:c>
      <x:c r="E1094" s="7" t="str">
        <x:v>SYNTHETIC: seeded teaching dataset; not observed market data</x:v>
      </x:c>
      <x:c r="F1094" s="7" t="n">
        <x:v>46266</x:v>
      </x:c>
    </x:row>
    <x:row r="1095" ht="22" customHeight="1">
      <x:c r="A1095" s="8" t="n">
        <x:v>45972</x:v>
      </x:c>
      <x:c r="B1095" s="7" t="str">
        <x:v>US_ETF</x:v>
      </x:c>
      <x:c r="C1095" s="7" t="n">
        <x:v>89.8148529674</x:v>
      </x:c>
      <x:c r="D1095" s="7" t="n">
        <x:v>89.8148529674</x:v>
      </x:c>
      <x:c r="E1095" s="7" t="str">
        <x:v>SYNTHETIC: seeded teaching dataset; not observed market data</x:v>
      </x:c>
      <x:c r="F1095" s="7" t="n">
        <x:v>46266</x:v>
      </x:c>
    </x:row>
    <x:row r="1096" ht="22" customHeight="1">
      <x:c r="A1096" s="8" t="n">
        <x:v>45973</x:v>
      </x:c>
      <x:c r="B1096" s="7" t="str">
        <x:v>US_ETF</x:v>
      </x:c>
      <x:c r="C1096" s="7" t="n">
        <x:v>89.3223059361</x:v>
      </x:c>
      <x:c r="D1096" s="7" t="n">
        <x:v>89.3223059361</x:v>
      </x:c>
      <x:c r="E1096" s="7" t="str">
        <x:v>SYNTHETIC: seeded teaching dataset; not observed market data</x:v>
      </x:c>
      <x:c r="F1096" s="7" t="n">
        <x:v>46266</x:v>
      </x:c>
    </x:row>
    <x:row r="1097" ht="22" customHeight="1">
      <x:c r="A1097" s="8" t="n">
        <x:v>45974</x:v>
      </x:c>
      <x:c r="B1097" s="7" t="str">
        <x:v>US_ETF</x:v>
      </x:c>
      <x:c r="C1097" s="7" t="n">
        <x:v>89.010889736</x:v>
      </x:c>
      <x:c r="D1097" s="7" t="n">
        <x:v>89.010889736</x:v>
      </x:c>
      <x:c r="E1097" s="7" t="str">
        <x:v>SYNTHETIC: seeded teaching dataset; not observed market data</x:v>
      </x:c>
      <x:c r="F1097" s="7" t="n">
        <x:v>46266</x:v>
      </x:c>
    </x:row>
    <x:row r="1098" ht="22" customHeight="1">
      <x:c r="A1098" s="8" t="n">
        <x:v>45975</x:v>
      </x:c>
      <x:c r="B1098" s="7" t="str">
        <x:v>US_ETF</x:v>
      </x:c>
      <x:c r="C1098" s="7" t="n">
        <x:v>88.8182489255</x:v>
      </x:c>
      <x:c r="D1098" s="7" t="n">
        <x:v>88.8182489255</x:v>
      </x:c>
      <x:c r="E1098" s="7" t="str">
        <x:v>SYNTHETIC: seeded teaching dataset; not observed market data</x:v>
      </x:c>
      <x:c r="F1098" s="7" t="n">
        <x:v>46266</x:v>
      </x:c>
    </x:row>
    <x:row r="1099" ht="22" customHeight="1">
      <x:c r="A1099" s="8" t="n">
        <x:v>45978</x:v>
      </x:c>
      <x:c r="B1099" s="7" t="str">
        <x:v>US_ETF</x:v>
      </x:c>
      <x:c r="C1099" s="7" t="n">
        <x:v>89.1706275692</x:v>
      </x:c>
      <x:c r="D1099" s="7" t="n">
        <x:v>89.1706275692</x:v>
      </x:c>
      <x:c r="E1099" s="7" t="str">
        <x:v>SYNTHETIC: seeded teaching dataset; not observed market data</x:v>
      </x:c>
      <x:c r="F1099" s="7" t="n">
        <x:v>46266</x:v>
      </x:c>
    </x:row>
    <x:row r="1100" ht="22" customHeight="1">
      <x:c r="A1100" s="8" t="n">
        <x:v>45979</x:v>
      </x:c>
      <x:c r="B1100" s="7" t="str">
        <x:v>US_ETF</x:v>
      </x:c>
      <x:c r="C1100" s="7" t="n">
        <x:v>88.9996611235</x:v>
      </x:c>
      <x:c r="D1100" s="7" t="n">
        <x:v>88.9996611235</x:v>
      </x:c>
      <x:c r="E1100" s="7" t="str">
        <x:v>SYNTHETIC: seeded teaching dataset; not observed market data</x:v>
      </x:c>
      <x:c r="F1100" s="7" t="n">
        <x:v>46266</x:v>
      </x:c>
    </x:row>
    <x:row r="1101" ht="22" customHeight="1">
      <x:c r="A1101" s="8" t="n">
        <x:v>45980</x:v>
      </x:c>
      <x:c r="B1101" s="7" t="str">
        <x:v>US_ETF</x:v>
      </x:c>
      <x:c r="C1101" s="7" t="n">
        <x:v>88.9493428732</x:v>
      </x:c>
      <x:c r="D1101" s="7" t="n">
        <x:v>88.9493428732</x:v>
      </x:c>
      <x:c r="E1101" s="7" t="str">
        <x:v>SYNTHETIC: seeded teaching dataset; not observed market data</x:v>
      </x:c>
      <x:c r="F1101" s="7" t="n">
        <x:v>46266</x:v>
      </x:c>
    </x:row>
    <x:row r="1102" ht="22" customHeight="1">
      <x:c r="A1102" s="8" t="n">
        <x:v>45981</x:v>
      </x:c>
      <x:c r="B1102" s="7" t="str">
        <x:v>US_ETF</x:v>
      </x:c>
      <x:c r="C1102" s="7" t="n">
        <x:v>89.4489713674</x:v>
      </x:c>
      <x:c r="D1102" s="7" t="n">
        <x:v>89.4489713674</x:v>
      </x:c>
      <x:c r="E1102" s="7" t="str">
        <x:v>SYNTHETIC: seeded teaching dataset; not observed market data</x:v>
      </x:c>
      <x:c r="F1102" s="7" t="n">
        <x:v>46266</x:v>
      </x:c>
    </x:row>
    <x:row r="1103" ht="22" customHeight="1">
      <x:c r="A1103" s="8" t="n">
        <x:v>45982</x:v>
      </x:c>
      <x:c r="B1103" s="7" t="str">
        <x:v>US_ETF</x:v>
      </x:c>
      <x:c r="C1103" s="7" t="n">
        <x:v>89.8794438219</x:v>
      </x:c>
      <x:c r="D1103" s="7" t="n">
        <x:v>89.8794438219</x:v>
      </x:c>
      <x:c r="E1103" s="7" t="str">
        <x:v>SYNTHETIC: seeded teaching dataset; not observed market data</x:v>
      </x:c>
      <x:c r="F1103" s="7" t="n">
        <x:v>46266</x:v>
      </x:c>
    </x:row>
    <x:row r="1104" ht="22" customHeight="1">
      <x:c r="A1104" s="8" t="n">
        <x:v>45985</x:v>
      </x:c>
      <x:c r="B1104" s="7" t="str">
        <x:v>US_ETF</x:v>
      </x:c>
      <x:c r="C1104" s="7" t="n">
        <x:v>90.0668554215</x:v>
      </x:c>
      <x:c r="D1104" s="7" t="n">
        <x:v>90.0668554215</x:v>
      </x:c>
      <x:c r="E1104" s="7" t="str">
        <x:v>SYNTHETIC: seeded teaching dataset; not observed market data</x:v>
      </x:c>
      <x:c r="F1104" s="7" t="n">
        <x:v>46266</x:v>
      </x:c>
    </x:row>
    <x:row r="1105" ht="22" customHeight="1">
      <x:c r="A1105" s="8" t="n">
        <x:v>45986</x:v>
      </x:c>
      <x:c r="B1105" s="7" t="str">
        <x:v>US_ETF</x:v>
      </x:c>
      <x:c r="C1105" s="7" t="n">
        <x:v>89.7648525713</x:v>
      </x:c>
      <x:c r="D1105" s="7" t="n">
        <x:v>89.7648525713</x:v>
      </x:c>
      <x:c r="E1105" s="7" t="str">
        <x:v>SYNTHETIC: seeded teaching dataset; not observed market data</x:v>
      </x:c>
      <x:c r="F1105" s="7" t="n">
        <x:v>46266</x:v>
      </x:c>
    </x:row>
    <x:row r="1106" ht="22" customHeight="1">
      <x:c r="A1106" s="8" t="n">
        <x:v>45987</x:v>
      </x:c>
      <x:c r="B1106" s="7" t="str">
        <x:v>US_ETF</x:v>
      </x:c>
      <x:c r="C1106" s="7" t="n">
        <x:v>89.596642423</x:v>
      </x:c>
      <x:c r="D1106" s="7" t="n">
        <x:v>89.596642423</x:v>
      </x:c>
      <x:c r="E1106" s="7" t="str">
        <x:v>SYNTHETIC: seeded teaching dataset; not observed market data</x:v>
      </x:c>
      <x:c r="F1106" s="7" t="n">
        <x:v>46266</x:v>
      </x:c>
    </x:row>
    <x:row r="1107" ht="22" customHeight="1">
      <x:c r="A1107" s="8" t="n">
        <x:v>45988</x:v>
      </x:c>
      <x:c r="B1107" s="7" t="str">
        <x:v>US_ETF</x:v>
      </x:c>
      <x:c r="C1107" s="7" t="n">
        <x:v>89.3950217208</x:v>
      </x:c>
      <x:c r="D1107" s="7" t="n">
        <x:v>89.3950217208</x:v>
      </x:c>
      <x:c r="E1107" s="7" t="str">
        <x:v>SYNTHETIC: seeded teaching dataset; not observed market data</x:v>
      </x:c>
      <x:c r="F1107" s="7" t="n">
        <x:v>46266</x:v>
      </x:c>
    </x:row>
    <x:row r="1108" ht="22" customHeight="1">
      <x:c r="A1108" s="8" t="n">
        <x:v>45989</x:v>
      </x:c>
      <x:c r="B1108" s="7" t="str">
        <x:v>US_ETF</x:v>
      </x:c>
      <x:c r="C1108" s="7" t="n">
        <x:v>89.2617674442</x:v>
      </x:c>
      <x:c r="D1108" s="7" t="n">
        <x:v>89.2617674442</x:v>
      </x:c>
      <x:c r="E1108" s="7" t="str">
        <x:v>SYNTHETIC: seeded teaching dataset; not observed market data</x:v>
      </x:c>
      <x:c r="F1108" s="7" t="n">
        <x:v>46266</x:v>
      </x:c>
    </x:row>
    <x:row r="1109" ht="22" customHeight="1">
      <x:c r="A1109" s="8" t="n">
        <x:v>45992</x:v>
      </x:c>
      <x:c r="B1109" s="7" t="str">
        <x:v>US_ETF</x:v>
      </x:c>
      <x:c r="C1109" s="7" t="n">
        <x:v>89.20994185</x:v>
      </x:c>
      <x:c r="D1109" s="7" t="n">
        <x:v>89.20994185</x:v>
      </x:c>
      <x:c r="E1109" s="7" t="str">
        <x:v>SYNTHETIC: seeded teaching dataset; not observed market data</x:v>
      </x:c>
      <x:c r="F1109" s="7" t="n">
        <x:v>46266</x:v>
      </x:c>
    </x:row>
    <x:row r="1110" ht="22" customHeight="1">
      <x:c r="A1110" s="8" t="n">
        <x:v>45993</x:v>
      </x:c>
      <x:c r="B1110" s="7" t="str">
        <x:v>US_ETF</x:v>
      </x:c>
      <x:c r="C1110" s="7" t="n">
        <x:v>89.4200971709</x:v>
      </x:c>
      <x:c r="D1110" s="7" t="n">
        <x:v>89.4200971709</x:v>
      </x:c>
      <x:c r="E1110" s="7" t="str">
        <x:v>SYNTHETIC: seeded teaching dataset; not observed market data</x:v>
      </x:c>
      <x:c r="F1110" s="7" t="n">
        <x:v>46266</x:v>
      </x:c>
    </x:row>
    <x:row r="1111" ht="22" customHeight="1">
      <x:c r="A1111" s="8" t="n">
        <x:v>45994</x:v>
      </x:c>
      <x:c r="B1111" s="7" t="str">
        <x:v>US_ETF</x:v>
      </x:c>
      <x:c r="C1111" s="7" t="n">
        <x:v>89.9171139299</x:v>
      </x:c>
      <x:c r="D1111" s="7" t="n">
        <x:v>89.9171139299</x:v>
      </x:c>
      <x:c r="E1111" s="7" t="str">
        <x:v>SYNTHETIC: seeded teaching dataset; not observed market data</x:v>
      </x:c>
      <x:c r="F1111" s="7" t="n">
        <x:v>46266</x:v>
      </x:c>
    </x:row>
    <x:row r="1112" ht="22" customHeight="1">
      <x:c r="A1112" s="8" t="n">
        <x:v>45995</x:v>
      </x:c>
      <x:c r="B1112" s="7" t="str">
        <x:v>US_ETF</x:v>
      </x:c>
      <x:c r="C1112" s="7" t="n">
        <x:v>90.2060607586</x:v>
      </x:c>
      <x:c r="D1112" s="7" t="n">
        <x:v>90.2060607586</x:v>
      </x:c>
      <x:c r="E1112" s="7" t="str">
        <x:v>SYNTHETIC: seeded teaching dataset; not observed market data</x:v>
      </x:c>
      <x:c r="F1112" s="7" t="n">
        <x:v>46266</x:v>
      </x:c>
    </x:row>
    <x:row r="1113" ht="22" customHeight="1">
      <x:c r="A1113" s="8" t="n">
        <x:v>45996</x:v>
      </x:c>
      <x:c r="B1113" s="7" t="str">
        <x:v>US_ETF</x:v>
      </x:c>
      <x:c r="C1113" s="7" t="n">
        <x:v>89.7502612419</x:v>
      </x:c>
      <x:c r="D1113" s="7" t="n">
        <x:v>89.7502612419</x:v>
      </x:c>
      <x:c r="E1113" s="7" t="str">
        <x:v>SYNTHETIC: seeded teaching dataset; not observed market data</x:v>
      </x:c>
      <x:c r="F1113" s="7" t="n">
        <x:v>46266</x:v>
      </x:c>
    </x:row>
    <x:row r="1114" ht="22" customHeight="1">
      <x:c r="A1114" s="8" t="n">
        <x:v>45999</x:v>
      </x:c>
      <x:c r="B1114" s="7" t="str">
        <x:v>US_ETF</x:v>
      </x:c>
      <x:c r="C1114" s="7" t="n">
        <x:v>89.8198165524</x:v>
      </x:c>
      <x:c r="D1114" s="7" t="n">
        <x:v>89.8198165524</x:v>
      </x:c>
      <x:c r="E1114" s="7" t="str">
        <x:v>SYNTHETIC: seeded teaching dataset; not observed market data</x:v>
      </x:c>
      <x:c r="F1114" s="7" t="n">
        <x:v>46266</x:v>
      </x:c>
    </x:row>
    <x:row r="1115" ht="22" customHeight="1">
      <x:c r="A1115" s="8" t="n">
        <x:v>46000</x:v>
      </x:c>
      <x:c r="B1115" s="7" t="str">
        <x:v>US_ETF</x:v>
      </x:c>
      <x:c r="C1115" s="7" t="n">
        <x:v>89.3709887071</x:v>
      </x:c>
      <x:c r="D1115" s="7" t="n">
        <x:v>89.3709887071</x:v>
      </x:c>
      <x:c r="E1115" s="7" t="str">
        <x:v>SYNTHETIC: seeded teaching dataset; not observed market data</x:v>
      </x:c>
      <x:c r="F1115" s="7" t="n">
        <x:v>46266</x:v>
      </x:c>
    </x:row>
    <x:row r="1116" ht="22" customHeight="1">
      <x:c r="A1116" s="8" t="n">
        <x:v>46001</x:v>
      </x:c>
      <x:c r="B1116" s="7" t="str">
        <x:v>US_ETF</x:v>
      </x:c>
      <x:c r="C1116" s="7" t="n">
        <x:v>89.8443738668</x:v>
      </x:c>
      <x:c r="D1116" s="7" t="n">
        <x:v>89.8443738668</x:v>
      </x:c>
      <x:c r="E1116" s="7" t="str">
        <x:v>SYNTHETIC: seeded teaching dataset; not observed market data</x:v>
      </x:c>
      <x:c r="F1116" s="7" t="n">
        <x:v>46266</x:v>
      </x:c>
    </x:row>
    <x:row r="1117" ht="22" customHeight="1">
      <x:c r="A1117" s="8" t="n">
        <x:v>46002</x:v>
      </x:c>
      <x:c r="B1117" s="7" t="str">
        <x:v>US_ETF</x:v>
      </x:c>
      <x:c r="C1117" s="7" t="n">
        <x:v>89.7435374969</x:v>
      </x:c>
      <x:c r="D1117" s="7" t="n">
        <x:v>89.7435374969</x:v>
      </x:c>
      <x:c r="E1117" s="7" t="str">
        <x:v>SYNTHETIC: seeded teaching dataset; not observed market data</x:v>
      </x:c>
      <x:c r="F1117" s="7" t="n">
        <x:v>46266</x:v>
      </x:c>
    </x:row>
    <x:row r="1118" ht="22" customHeight="1">
      <x:c r="A1118" s="8" t="n">
        <x:v>46003</x:v>
      </x:c>
      <x:c r="B1118" s="7" t="str">
        <x:v>US_ETF</x:v>
      </x:c>
      <x:c r="C1118" s="7" t="n">
        <x:v>89.4610489896</x:v>
      </x:c>
      <x:c r="D1118" s="7" t="n">
        <x:v>89.4610489896</x:v>
      </x:c>
      <x:c r="E1118" s="7" t="str">
        <x:v>SYNTHETIC: seeded teaching dataset; not observed market data</x:v>
      </x:c>
      <x:c r="F1118" s="7" t="n">
        <x:v>46266</x:v>
      </x:c>
    </x:row>
    <x:row r="1119" ht="22" customHeight="1">
      <x:c r="A1119" s="8" t="n">
        <x:v>46006</x:v>
      </x:c>
      <x:c r="B1119" s="7" t="str">
        <x:v>US_ETF</x:v>
      </x:c>
      <x:c r="C1119" s="7" t="n">
        <x:v>89.7383979925</x:v>
      </x:c>
      <x:c r="D1119" s="7" t="n">
        <x:v>89.7383979925</x:v>
      </x:c>
      <x:c r="E1119" s="7" t="str">
        <x:v>SYNTHETIC: seeded teaching dataset; not observed market data</x:v>
      </x:c>
      <x:c r="F1119" s="7" t="n">
        <x:v>46266</x:v>
      </x:c>
    </x:row>
    <x:row r="1120" ht="22" customHeight="1">
      <x:c r="A1120" s="8" t="n">
        <x:v>46007</x:v>
      </x:c>
      <x:c r="B1120" s="7" t="str">
        <x:v>US_ETF</x:v>
      </x:c>
      <x:c r="C1120" s="7" t="n">
        <x:v>89.1190245696</x:v>
      </x:c>
      <x:c r="D1120" s="7" t="n">
        <x:v>89.1190245696</x:v>
      </x:c>
      <x:c r="E1120" s="7" t="str">
        <x:v>SYNTHETIC: seeded teaching dataset; not observed market data</x:v>
      </x:c>
      <x:c r="F1120" s="7" t="n">
        <x:v>46266</x:v>
      </x:c>
    </x:row>
    <x:row r="1121" ht="22" customHeight="1">
      <x:c r="A1121" s="8" t="n">
        <x:v>46008</x:v>
      </x:c>
      <x:c r="B1121" s="7" t="str">
        <x:v>US_ETF</x:v>
      </x:c>
      <x:c r="C1121" s="7" t="n">
        <x:v>89.4683993355</x:v>
      </x:c>
      <x:c r="D1121" s="7" t="n">
        <x:v>89.4683993355</x:v>
      </x:c>
      <x:c r="E1121" s="7" t="str">
        <x:v>SYNTHETIC: seeded teaching dataset; not observed market data</x:v>
      </x:c>
      <x:c r="F1121" s="7" t="n">
        <x:v>46266</x:v>
      </x:c>
    </x:row>
    <x:row r="1122" ht="22" customHeight="1">
      <x:c r="A1122" s="8" t="n">
        <x:v>46009</x:v>
      </x:c>
      <x:c r="B1122" s="7" t="str">
        <x:v>US_ETF</x:v>
      </x:c>
      <x:c r="C1122" s="7" t="n">
        <x:v>88.9068171052</x:v>
      </x:c>
      <x:c r="D1122" s="7" t="n">
        <x:v>88.9068171052</x:v>
      </x:c>
      <x:c r="E1122" s="7" t="str">
        <x:v>SYNTHETIC: seeded teaching dataset; not observed market data</x:v>
      </x:c>
      <x:c r="F1122" s="7" t="n">
        <x:v>46266</x:v>
      </x:c>
    </x:row>
    <x:row r="1123" ht="22" customHeight="1">
      <x:c r="A1123" s="8" t="n">
        <x:v>46010</x:v>
      </x:c>
      <x:c r="B1123" s="7" t="str">
        <x:v>US_ETF</x:v>
      </x:c>
      <x:c r="C1123" s="7" t="n">
        <x:v>88.566546504</x:v>
      </x:c>
      <x:c r="D1123" s="7" t="n">
        <x:v>88.566546504</x:v>
      </x:c>
      <x:c r="E1123" s="7" t="str">
        <x:v>SYNTHETIC: seeded teaching dataset; not observed market data</x:v>
      </x:c>
      <x:c r="F1123" s="7" t="n">
        <x:v>46266</x:v>
      </x:c>
    </x:row>
    <x:row r="1124" ht="22" customHeight="1">
      <x:c r="A1124" s="8" t="n">
        <x:v>46013</x:v>
      </x:c>
      <x:c r="B1124" s="7" t="str">
        <x:v>US_ETF</x:v>
      </x:c>
      <x:c r="C1124" s="7" t="n">
        <x:v>88.8924097045</x:v>
      </x:c>
      <x:c r="D1124" s="7" t="n">
        <x:v>88.8924097045</x:v>
      </x:c>
      <x:c r="E1124" s="7" t="str">
        <x:v>SYNTHETIC: seeded teaching dataset; not observed market data</x:v>
      </x:c>
      <x:c r="F1124" s="7" t="n">
        <x:v>46266</x:v>
      </x:c>
    </x:row>
    <x:row r="1125" ht="22" customHeight="1">
      <x:c r="A1125" s="8" t="n">
        <x:v>46014</x:v>
      </x:c>
      <x:c r="B1125" s="7" t="str">
        <x:v>US_ETF</x:v>
      </x:c>
      <x:c r="C1125" s="7" t="n">
        <x:v>88.2003382127</x:v>
      </x:c>
      <x:c r="D1125" s="7" t="n">
        <x:v>88.2003382127</x:v>
      </x:c>
      <x:c r="E1125" s="7" t="str">
        <x:v>SYNTHETIC: seeded teaching dataset; not observed market data</x:v>
      </x:c>
      <x:c r="F1125" s="7" t="n">
        <x:v>46266</x:v>
      </x:c>
    </x:row>
    <x:row r="1126" ht="22" customHeight="1">
      <x:c r="A1126" s="8" t="n">
        <x:v>46015</x:v>
      </x:c>
      <x:c r="B1126" s="7" t="str">
        <x:v>US_ETF</x:v>
      </x:c>
      <x:c r="C1126" s="7" t="n">
        <x:v>88.2224781171</x:v>
      </x:c>
      <x:c r="D1126" s="7" t="n">
        <x:v>88.2224781171</x:v>
      </x:c>
      <x:c r="E1126" s="7" t="str">
        <x:v>SYNTHETIC: seeded teaching dataset; not observed market data</x:v>
      </x:c>
      <x:c r="F1126" s="7" t="n">
        <x:v>46266</x:v>
      </x:c>
    </x:row>
    <x:row r="1127" ht="22" customHeight="1">
      <x:c r="A1127" s="8" t="n">
        <x:v>46016</x:v>
      </x:c>
      <x:c r="B1127" s="7" t="str">
        <x:v>US_ETF</x:v>
      </x:c>
      <x:c r="C1127" s="7" t="n">
        <x:v>88.2691916987</x:v>
      </x:c>
      <x:c r="D1127" s="7" t="n">
        <x:v>88.2691916987</x:v>
      </x:c>
      <x:c r="E1127" s="7" t="str">
        <x:v>SYNTHETIC: seeded teaching dataset; not observed market data</x:v>
      </x:c>
      <x:c r="F1127" s="7" t="n">
        <x:v>46266</x:v>
      </x:c>
    </x:row>
    <x:row r="1128" ht="22" customHeight="1">
      <x:c r="A1128" s="8" t="n">
        <x:v>46017</x:v>
      </x:c>
      <x:c r="B1128" s="7" t="str">
        <x:v>US_ETF</x:v>
      </x:c>
      <x:c r="C1128" s="7" t="n">
        <x:v>88.6364636087</x:v>
      </x:c>
      <x:c r="D1128" s="7" t="n">
        <x:v>88.6364636087</x:v>
      </x:c>
      <x:c r="E1128" s="7" t="str">
        <x:v>SYNTHETIC: seeded teaching dataset; not observed market data</x:v>
      </x:c>
      <x:c r="F1128" s="7" t="n">
        <x:v>46266</x:v>
      </x:c>
    </x:row>
    <x:row r="1129" ht="22" customHeight="1">
      <x:c r="A1129" s="8" t="n">
        <x:v>46020</x:v>
      </x:c>
      <x:c r="B1129" s="7" t="str">
        <x:v>US_ETF</x:v>
      </x:c>
      <x:c r="C1129" s="7" t="n">
        <x:v>88.2477710299</x:v>
      </x:c>
      <x:c r="D1129" s="7" t="n">
        <x:v>88.2477710299</x:v>
      </x:c>
      <x:c r="E1129" s="7" t="str">
        <x:v>SYNTHETIC: seeded teaching dataset; not observed market data</x:v>
      </x:c>
      <x:c r="F1129" s="7" t="n">
        <x:v>46266</x:v>
      </x:c>
    </x:row>
    <x:row r="1130" ht="22" customHeight="1">
      <x:c r="A1130" s="8" t="n">
        <x:v>46021</x:v>
      </x:c>
      <x:c r="B1130" s="7" t="str">
        <x:v>US_ETF</x:v>
      </x:c>
      <x:c r="C1130" s="7" t="n">
        <x:v>88.4693285439</x:v>
      </x:c>
      <x:c r="D1130" s="7" t="n">
        <x:v>88.4693285439</x:v>
      </x:c>
      <x:c r="E1130" s="7" t="str">
        <x:v>SYNTHETIC: seeded teaching dataset; not observed market data</x:v>
      </x:c>
      <x:c r="F1130" s="7" t="n">
        <x:v>46266</x:v>
      </x:c>
    </x:row>
    <x:row r="1131" ht="22" customHeight="1">
      <x:c r="A1131" s="8" t="n">
        <x:v>46022</x:v>
      </x:c>
      <x:c r="B1131" s="7" t="str">
        <x:v>US_ETF</x:v>
      </x:c>
      <x:c r="C1131" s="7" t="n">
        <x:v>88.7649236668</x:v>
      </x:c>
      <x:c r="D1131" s="7" t="n">
        <x:v>88.7649236668</x:v>
      </x:c>
      <x:c r="E1131" s="7" t="str">
        <x:v>SYNTHETIC: seeded teaching dataset; not observed market data</x:v>
      </x:c>
      <x:c r="F1131" s="7" t="n">
        <x:v>46266</x:v>
      </x:c>
    </x:row>
    <x:row r="1132" ht="22" customHeight="1">
      <x:c r="A1132" s="8" t="n">
        <x:v>46023</x:v>
      </x:c>
      <x:c r="B1132" s="7" t="str">
        <x:v>US_ETF</x:v>
      </x:c>
      <x:c r="C1132" s="7" t="n">
        <x:v>88.356842483</x:v>
      </x:c>
      <x:c r="D1132" s="7" t="n">
        <x:v>88.356842483</x:v>
      </x:c>
      <x:c r="E1132" s="7" t="str">
        <x:v>SYNTHETIC: seeded teaching dataset; not observed market data</x:v>
      </x:c>
      <x:c r="F1132" s="7" t="n">
        <x:v>46266</x:v>
      </x:c>
    </x:row>
    <x:row r="1133" ht="22" customHeight="1">
      <x:c r="A1133" s="8" t="n">
        <x:v>46024</x:v>
      </x:c>
      <x:c r="B1133" s="7" t="str">
        <x:v>US_ETF</x:v>
      </x:c>
      <x:c r="C1133" s="7" t="n">
        <x:v>88.366322685</x:v>
      </x:c>
      <x:c r="D1133" s="7" t="n">
        <x:v>88.366322685</x:v>
      </x:c>
      <x:c r="E1133" s="7" t="str">
        <x:v>SYNTHETIC: seeded teaching dataset; not observed market data</x:v>
      </x:c>
      <x:c r="F1133" s="7" t="n">
        <x:v>46266</x:v>
      </x:c>
    </x:row>
    <x:row r="1134" ht="22" customHeight="1">
      <x:c r="A1134" s="8" t="n">
        <x:v>46027</x:v>
      </x:c>
      <x:c r="B1134" s="7" t="str">
        <x:v>US_ETF</x:v>
      </x:c>
      <x:c r="C1134" s="7" t="n">
        <x:v>88.7558249298</x:v>
      </x:c>
      <x:c r="D1134" s="7" t="n">
        <x:v>88.7558249298</x:v>
      </x:c>
      <x:c r="E1134" s="7" t="str">
        <x:v>SYNTHETIC: seeded teaching dataset; not observed market data</x:v>
      </x:c>
      <x:c r="F1134" s="7" t="n">
        <x:v>46266</x:v>
      </x:c>
    </x:row>
    <x:row r="1135" ht="22" customHeight="1">
      <x:c r="A1135" s="8" t="n">
        <x:v>46028</x:v>
      </x:c>
      <x:c r="B1135" s="7" t="str">
        <x:v>US_ETF</x:v>
      </x:c>
      <x:c r="C1135" s="7" t="n">
        <x:v>87.8811628521</x:v>
      </x:c>
      <x:c r="D1135" s="7" t="n">
        <x:v>87.8811628521</x:v>
      </x:c>
      <x:c r="E1135" s="7" t="str">
        <x:v>SYNTHETIC: seeded teaching dataset; not observed market data</x:v>
      </x:c>
      <x:c r="F1135" s="7" t="n">
        <x:v>46266</x:v>
      </x:c>
    </x:row>
    <x:row r="1136" ht="22" customHeight="1">
      <x:c r="A1136" s="8" t="n">
        <x:v>46029</x:v>
      </x:c>
      <x:c r="B1136" s="7" t="str">
        <x:v>US_ETF</x:v>
      </x:c>
      <x:c r="C1136" s="7" t="n">
        <x:v>87.9336828435</x:v>
      </x:c>
      <x:c r="D1136" s="7" t="n">
        <x:v>87.9336828435</x:v>
      </x:c>
      <x:c r="E1136" s="7" t="str">
        <x:v>SYNTHETIC: seeded teaching dataset; not observed market data</x:v>
      </x:c>
      <x:c r="F1136" s="7" t="n">
        <x:v>46266</x:v>
      </x:c>
    </x:row>
    <x:row r="1137" ht="22" customHeight="1">
      <x:c r="A1137" s="8" t="n">
        <x:v>46030</x:v>
      </x:c>
      <x:c r="B1137" s="7" t="str">
        <x:v>US_ETF</x:v>
      </x:c>
      <x:c r="C1137" s="7" t="n">
        <x:v>88.314674984</x:v>
      </x:c>
      <x:c r="D1137" s="7" t="n">
        <x:v>88.314674984</x:v>
      </x:c>
      <x:c r="E1137" s="7" t="str">
        <x:v>SYNTHETIC: seeded teaching dataset; not observed market data</x:v>
      </x:c>
      <x:c r="F1137" s="7" t="n">
        <x:v>46266</x:v>
      </x:c>
    </x:row>
    <x:row r="1138" ht="22" customHeight="1">
      <x:c r="A1138" s="8" t="n">
        <x:v>46031</x:v>
      </x:c>
      <x:c r="B1138" s="7" t="str">
        <x:v>US_ETF</x:v>
      </x:c>
      <x:c r="C1138" s="7" t="n">
        <x:v>88.4632109266</x:v>
      </x:c>
      <x:c r="D1138" s="7" t="n">
        <x:v>88.4632109266</x:v>
      </x:c>
      <x:c r="E1138" s="7" t="str">
        <x:v>SYNTHETIC: seeded teaching dataset; not observed market data</x:v>
      </x:c>
      <x:c r="F1138" s="7" t="n">
        <x:v>46266</x:v>
      </x:c>
    </x:row>
    <x:row r="1139" ht="22" customHeight="1">
      <x:c r="A1139" s="8" t="n">
        <x:v>46034</x:v>
      </x:c>
      <x:c r="B1139" s="7" t="str">
        <x:v>US_ETF</x:v>
      </x:c>
      <x:c r="C1139" s="7" t="n">
        <x:v>88.2918736605</x:v>
      </x:c>
      <x:c r="D1139" s="7" t="n">
        <x:v>88.2918736605</x:v>
      </x:c>
      <x:c r="E1139" s="7" t="str">
        <x:v>SYNTHETIC: seeded teaching dataset; not observed market data</x:v>
      </x:c>
      <x:c r="F1139" s="7" t="n">
        <x:v>46266</x:v>
      </x:c>
    </x:row>
    <x:row r="1140" ht="22" customHeight="1">
      <x:c r="A1140" s="8" t="n">
        <x:v>46035</x:v>
      </x:c>
      <x:c r="B1140" s="7" t="str">
        <x:v>US_ETF</x:v>
      </x:c>
      <x:c r="C1140" s="7" t="n">
        <x:v>88.9665159337</x:v>
      </x:c>
      <x:c r="D1140" s="7" t="n">
        <x:v>88.9665159337</x:v>
      </x:c>
      <x:c r="E1140" s="7" t="str">
        <x:v>SYNTHETIC: seeded teaching dataset; not observed market data</x:v>
      </x:c>
      <x:c r="F1140" s="7" t="n">
        <x:v>46266</x:v>
      </x:c>
    </x:row>
    <x:row r="1141" ht="22" customHeight="1">
      <x:c r="A1141" s="8" t="n">
        <x:v>46036</x:v>
      </x:c>
      <x:c r="B1141" s="7" t="str">
        <x:v>US_ETF</x:v>
      </x:c>
      <x:c r="C1141" s="7" t="n">
        <x:v>88.9960425304</x:v>
      </x:c>
      <x:c r="D1141" s="7" t="n">
        <x:v>88.9960425304</x:v>
      </x:c>
      <x:c r="E1141" s="7" t="str">
        <x:v>SYNTHETIC: seeded teaching dataset; not observed market data</x:v>
      </x:c>
      <x:c r="F1141" s="7" t="n">
        <x:v>46266</x:v>
      </x:c>
    </x:row>
    <x:row r="1142" ht="22" customHeight="1">
      <x:c r="A1142" s="8" t="n">
        <x:v>46037</x:v>
      </x:c>
      <x:c r="B1142" s="7" t="str">
        <x:v>US_ETF</x:v>
      </x:c>
      <x:c r="C1142" s="7" t="n">
        <x:v>89.1777085188</x:v>
      </x:c>
      <x:c r="D1142" s="7" t="n">
        <x:v>89.1777085188</x:v>
      </x:c>
      <x:c r="E1142" s="7" t="str">
        <x:v>SYNTHETIC: seeded teaching dataset; not observed market data</x:v>
      </x:c>
      <x:c r="F1142" s="7" t="n">
        <x:v>46266</x:v>
      </x:c>
    </x:row>
    <x:row r="1143" ht="22" customHeight="1">
      <x:c r="A1143" s="8" t="n">
        <x:v>46038</x:v>
      </x:c>
      <x:c r="B1143" s="7" t="str">
        <x:v>US_ETF</x:v>
      </x:c>
      <x:c r="C1143" s="7" t="n">
        <x:v>89.2533576602</x:v>
      </x:c>
      <x:c r="D1143" s="7" t="n">
        <x:v>89.2533576602</x:v>
      </x:c>
      <x:c r="E1143" s="7" t="str">
        <x:v>SYNTHETIC: seeded teaching dataset; not observed market data</x:v>
      </x:c>
      <x:c r="F1143" s="7" t="n">
        <x:v>46266</x:v>
      </x:c>
    </x:row>
    <x:row r="1144" ht="22" customHeight="1">
      <x:c r="A1144" s="8" t="n">
        <x:v>46041</x:v>
      </x:c>
      <x:c r="B1144" s="7" t="str">
        <x:v>US_ETF</x:v>
      </x:c>
      <x:c r="C1144" s="7" t="n">
        <x:v>89.3503666596</x:v>
      </x:c>
      <x:c r="D1144" s="7" t="n">
        <x:v>89.3503666596</x:v>
      </x:c>
      <x:c r="E1144" s="7" t="str">
        <x:v>SYNTHETIC: seeded teaching dataset; not observed market data</x:v>
      </x:c>
      <x:c r="F1144" s="7" t="n">
        <x:v>46266</x:v>
      </x:c>
    </x:row>
    <x:row r="1145" ht="22" customHeight="1">
      <x:c r="A1145" s="8" t="n">
        <x:v>46042</x:v>
      </x:c>
      <x:c r="B1145" s="7" t="str">
        <x:v>US_ETF</x:v>
      </x:c>
      <x:c r="C1145" s="7" t="n">
        <x:v>89.5677122241</x:v>
      </x:c>
      <x:c r="D1145" s="7" t="n">
        <x:v>89.5677122241</x:v>
      </x:c>
      <x:c r="E1145" s="7" t="str">
        <x:v>SYNTHETIC: seeded teaching dataset; not observed market data</x:v>
      </x:c>
      <x:c r="F1145" s="7" t="n">
        <x:v>46266</x:v>
      </x:c>
    </x:row>
    <x:row r="1146" ht="22" customHeight="1">
      <x:c r="A1146" s="8" t="n">
        <x:v>46043</x:v>
      </x:c>
      <x:c r="B1146" s="7" t="str">
        <x:v>US_ETF</x:v>
      </x:c>
      <x:c r="C1146" s="7" t="n">
        <x:v>89.9152004213</x:v>
      </x:c>
      <x:c r="D1146" s="7" t="n">
        <x:v>89.9152004213</x:v>
      </x:c>
      <x:c r="E1146" s="7" t="str">
        <x:v>SYNTHETIC: seeded teaching dataset; not observed market data</x:v>
      </x:c>
      <x:c r="F1146" s="7" t="n">
        <x:v>46266</x:v>
      </x:c>
    </x:row>
    <x:row r="1147" ht="22" customHeight="1">
      <x:c r="A1147" s="8" t="n">
        <x:v>46044</x:v>
      </x:c>
      <x:c r="B1147" s="7" t="str">
        <x:v>US_ETF</x:v>
      </x:c>
      <x:c r="C1147" s="7" t="n">
        <x:v>89.9365324383</x:v>
      </x:c>
      <x:c r="D1147" s="7" t="n">
        <x:v>89.9365324383</x:v>
      </x:c>
      <x:c r="E1147" s="7" t="str">
        <x:v>SYNTHETIC: seeded teaching dataset; not observed market data</x:v>
      </x:c>
      <x:c r="F1147" s="7" t="n">
        <x:v>46266</x:v>
      </x:c>
    </x:row>
    <x:row r="1148" ht="22" customHeight="1">
      <x:c r="A1148" s="8" t="n">
        <x:v>46045</x:v>
      </x:c>
      <x:c r="B1148" s="7" t="str">
        <x:v>US_ETF</x:v>
      </x:c>
      <x:c r="C1148" s="7" t="n">
        <x:v>89.6209108636</x:v>
      </x:c>
      <x:c r="D1148" s="7" t="n">
        <x:v>89.6209108636</x:v>
      </x:c>
      <x:c r="E1148" s="7" t="str">
        <x:v>SYNTHETIC: seeded teaching dataset; not observed market data</x:v>
      </x:c>
      <x:c r="F1148" s="7" t="n">
        <x:v>46266</x:v>
      </x:c>
    </x:row>
    <x:row r="1149" ht="22" customHeight="1">
      <x:c r="A1149" s="8" t="n">
        <x:v>46048</x:v>
      </x:c>
      <x:c r="B1149" s="7" t="str">
        <x:v>US_ETF</x:v>
      </x:c>
      <x:c r="C1149" s="7" t="n">
        <x:v>89.862250706</x:v>
      </x:c>
      <x:c r="D1149" s="7" t="n">
        <x:v>89.862250706</x:v>
      </x:c>
      <x:c r="E1149" s="7" t="str">
        <x:v>SYNTHETIC: seeded teaching dataset; not observed market data</x:v>
      </x:c>
      <x:c r="F1149" s="7" t="n">
        <x:v>46266</x:v>
      </x:c>
    </x:row>
    <x:row r="1150" ht="22" customHeight="1">
      <x:c r="A1150" s="8" t="n">
        <x:v>46049</x:v>
      </x:c>
      <x:c r="B1150" s="7" t="str">
        <x:v>US_ETF</x:v>
      </x:c>
      <x:c r="C1150" s="7" t="n">
        <x:v>90.4051952445</x:v>
      </x:c>
      <x:c r="D1150" s="7" t="n">
        <x:v>90.4051952445</x:v>
      </x:c>
      <x:c r="E1150" s="7" t="str">
        <x:v>SYNTHETIC: seeded teaching dataset; not observed market data</x:v>
      </x:c>
      <x:c r="F1150" s="7" t="n">
        <x:v>46266</x:v>
      </x:c>
    </x:row>
    <x:row r="1151" ht="22" customHeight="1">
      <x:c r="A1151" s="8" t="n">
        <x:v>46050</x:v>
      </x:c>
      <x:c r="B1151" s="7" t="str">
        <x:v>US_ETF</x:v>
      </x:c>
      <x:c r="C1151" s="7" t="n">
        <x:v>90.6814462965</x:v>
      </x:c>
      <x:c r="D1151" s="7" t="n">
        <x:v>90.6814462965</x:v>
      </x:c>
      <x:c r="E1151" s="7" t="str">
        <x:v>SYNTHETIC: seeded teaching dataset; not observed market data</x:v>
      </x:c>
      <x:c r="F1151" s="7" t="n">
        <x:v>46266</x:v>
      </x:c>
    </x:row>
    <x:row r="1152" ht="22" customHeight="1">
      <x:c r="A1152" s="8" t="n">
        <x:v>46051</x:v>
      </x:c>
      <x:c r="B1152" s="7" t="str">
        <x:v>US_ETF</x:v>
      </x:c>
      <x:c r="C1152" s="7" t="n">
        <x:v>91.1921330949</x:v>
      </x:c>
      <x:c r="D1152" s="7" t="n">
        <x:v>91.1921330949</x:v>
      </x:c>
      <x:c r="E1152" s="7" t="str">
        <x:v>SYNTHETIC: seeded teaching dataset; not observed market data</x:v>
      </x:c>
      <x:c r="F1152" s="7" t="n">
        <x:v>46266</x:v>
      </x:c>
    </x:row>
    <x:row r="1153" ht="22" customHeight="1">
      <x:c r="A1153" s="8" t="n">
        <x:v>46052</x:v>
      </x:c>
      <x:c r="B1153" s="7" t="str">
        <x:v>US_ETF</x:v>
      </x:c>
      <x:c r="C1153" s="7" t="n">
        <x:v>90.6303941836</x:v>
      </x:c>
      <x:c r="D1153" s="7" t="n">
        <x:v>90.6303941836</x:v>
      </x:c>
      <x:c r="E1153" s="7" t="str">
        <x:v>SYNTHETIC: seeded teaching dataset; not observed market data</x:v>
      </x:c>
      <x:c r="F1153" s="7" t="n">
        <x:v>46266</x:v>
      </x:c>
    </x:row>
    <x:row r="1154" ht="22" customHeight="1">
      <x:c r="A1154" s="8" t="n">
        <x:v>46055</x:v>
      </x:c>
      <x:c r="B1154" s="7" t="str">
        <x:v>US_ETF</x:v>
      </x:c>
      <x:c r="C1154" s="7" t="n">
        <x:v>90.2021528621</x:v>
      </x:c>
      <x:c r="D1154" s="7" t="n">
        <x:v>90.2021528621</x:v>
      </x:c>
      <x:c r="E1154" s="7" t="str">
        <x:v>SYNTHETIC: seeded teaching dataset; not observed market data</x:v>
      </x:c>
      <x:c r="F1154" s="7" t="n">
        <x:v>46266</x:v>
      </x:c>
    </x:row>
    <x:row r="1155" ht="22" customHeight="1">
      <x:c r="A1155" s="8" t="n">
        <x:v>46056</x:v>
      </x:c>
      <x:c r="B1155" s="7" t="str">
        <x:v>US_ETF</x:v>
      </x:c>
      <x:c r="C1155" s="7" t="n">
        <x:v>89.7944641838</x:v>
      </x:c>
      <x:c r="D1155" s="7" t="n">
        <x:v>89.7944641838</x:v>
      </x:c>
      <x:c r="E1155" s="7" t="str">
        <x:v>SYNTHETIC: seeded teaching dataset; not observed market data</x:v>
      </x:c>
      <x:c r="F1155" s="7" t="n">
        <x:v>46266</x:v>
      </x:c>
    </x:row>
    <x:row r="1156" ht="22" customHeight="1">
      <x:c r="A1156" s="8" t="n">
        <x:v>46057</x:v>
      </x:c>
      <x:c r="B1156" s="7" t="str">
        <x:v>US_ETF</x:v>
      </x:c>
      <x:c r="C1156" s="7" t="n">
        <x:v>89.9403146428</x:v>
      </x:c>
      <x:c r="D1156" s="7" t="n">
        <x:v>89.9403146428</x:v>
      </x:c>
      <x:c r="E1156" s="7" t="str">
        <x:v>SYNTHETIC: seeded teaching dataset; not observed market data</x:v>
      </x:c>
      <x:c r="F1156" s="7" t="n">
        <x:v>46266</x:v>
      </x:c>
    </x:row>
    <x:row r="1157" ht="22" customHeight="1">
      <x:c r="A1157" s="8" t="n">
        <x:v>46058</x:v>
      </x:c>
      <x:c r="B1157" s="7" t="str">
        <x:v>US_ETF</x:v>
      </x:c>
      <x:c r="C1157" s="7" t="n">
        <x:v>90.1326974305</x:v>
      </x:c>
      <x:c r="D1157" s="7" t="n">
        <x:v>90.1326974305</x:v>
      </x:c>
      <x:c r="E1157" s="7" t="str">
        <x:v>SYNTHETIC: seeded teaching dataset; not observed market data</x:v>
      </x:c>
      <x:c r="F1157" s="7" t="n">
        <x:v>46266</x:v>
      </x:c>
    </x:row>
    <x:row r="1158" ht="22" customHeight="1">
      <x:c r="A1158" s="8" t="n">
        <x:v>46059</x:v>
      </x:c>
      <x:c r="B1158" s="7" t="str">
        <x:v>US_ETF</x:v>
      </x:c>
      <x:c r="C1158" s="7" t="n">
        <x:v>89.8511575911</x:v>
      </x:c>
      <x:c r="D1158" s="7" t="n">
        <x:v>89.8511575911</x:v>
      </x:c>
      <x:c r="E1158" s="7" t="str">
        <x:v>SYNTHETIC: seeded teaching dataset; not observed market data</x:v>
      </x:c>
      <x:c r="F1158" s="7" t="n">
        <x:v>46266</x:v>
      </x:c>
    </x:row>
    <x:row r="1159" ht="22" customHeight="1">
      <x:c r="A1159" s="8" t="n">
        <x:v>46062</x:v>
      </x:c>
      <x:c r="B1159" s="7" t="str">
        <x:v>US_ETF</x:v>
      </x:c>
      <x:c r="C1159" s="7" t="n">
        <x:v>89.747655163</x:v>
      </x:c>
      <x:c r="D1159" s="7" t="n">
        <x:v>89.747655163</x:v>
      </x:c>
      <x:c r="E1159" s="7" t="str">
        <x:v>SYNTHETIC: seeded teaching dataset; not observed market data</x:v>
      </x:c>
      <x:c r="F1159" s="7" t="n">
        <x:v>46266</x:v>
      </x:c>
    </x:row>
    <x:row r="1160" ht="22" customHeight="1">
      <x:c r="A1160" s="8" t="n">
        <x:v>46063</x:v>
      </x:c>
      <x:c r="B1160" s="7" t="str">
        <x:v>US_ETF</x:v>
      </x:c>
      <x:c r="C1160" s="7" t="n">
        <x:v>90.0992787036</x:v>
      </x:c>
      <x:c r="D1160" s="7" t="n">
        <x:v>90.0992787036</x:v>
      </x:c>
      <x:c r="E1160" s="7" t="str">
        <x:v>SYNTHETIC: seeded teaching dataset; not observed market data</x:v>
      </x:c>
      <x:c r="F1160" s="7" t="n">
        <x:v>46266</x:v>
      </x:c>
    </x:row>
    <x:row r="1161" ht="22" customHeight="1">
      <x:c r="A1161" s="8" t="n">
        <x:v>46064</x:v>
      </x:c>
      <x:c r="B1161" s="7" t="str">
        <x:v>US_ETF</x:v>
      </x:c>
      <x:c r="C1161" s="7" t="n">
        <x:v>89.5808915815</x:v>
      </x:c>
      <x:c r="D1161" s="7" t="n">
        <x:v>89.5808915815</x:v>
      </x:c>
      <x:c r="E1161" s="7" t="str">
        <x:v>SYNTHETIC: seeded teaching dataset; not observed market data</x:v>
      </x:c>
      <x:c r="F1161" s="7" t="n">
        <x:v>46266</x:v>
      </x:c>
    </x:row>
    <x:row r="1162" ht="22" customHeight="1">
      <x:c r="A1162" s="8" t="n">
        <x:v>46065</x:v>
      </x:c>
      <x:c r="B1162" s="7" t="str">
        <x:v>US_ETF</x:v>
      </x:c>
      <x:c r="C1162" s="7" t="n">
        <x:v>89.829427013</x:v>
      </x:c>
      <x:c r="D1162" s="7" t="n">
        <x:v>89.829427013</x:v>
      </x:c>
      <x:c r="E1162" s="7" t="str">
        <x:v>SYNTHETIC: seeded teaching dataset; not observed market data</x:v>
      </x:c>
      <x:c r="F1162" s="7" t="n">
        <x:v>46266</x:v>
      </x:c>
    </x:row>
    <x:row r="1163" ht="22" customHeight="1">
      <x:c r="A1163" s="8" t="n">
        <x:v>46066</x:v>
      </x:c>
      <x:c r="B1163" s="7" t="str">
        <x:v>US_ETF</x:v>
      </x:c>
      <x:c r="C1163" s="7" t="n">
        <x:v>89.4549136922</x:v>
      </x:c>
      <x:c r="D1163" s="7" t="n">
        <x:v>89.4549136922</x:v>
      </x:c>
      <x:c r="E1163" s="7" t="str">
        <x:v>SYNTHETIC: seeded teaching dataset; not observed market data</x:v>
      </x:c>
      <x:c r="F1163" s="7" t="n">
        <x:v>46266</x:v>
      </x:c>
    </x:row>
    <x:row r="1164" ht="22" customHeight="1">
      <x:c r="A1164" s="8" t="n">
        <x:v>46069</x:v>
      </x:c>
      <x:c r="B1164" s="7" t="str">
        <x:v>US_ETF</x:v>
      </x:c>
      <x:c r="C1164" s="7" t="n">
        <x:v>88.8298671547</x:v>
      </x:c>
      <x:c r="D1164" s="7" t="n">
        <x:v>88.8298671547</x:v>
      </x:c>
      <x:c r="E1164" s="7" t="str">
        <x:v>SYNTHETIC: seeded teaching dataset; not observed market data</x:v>
      </x:c>
      <x:c r="F1164" s="7" t="n">
        <x:v>46266</x:v>
      </x:c>
    </x:row>
    <x:row r="1165" ht="22" customHeight="1">
      <x:c r="A1165" s="8" t="n">
        <x:v>46070</x:v>
      </x:c>
      <x:c r="B1165" s="7" t="str">
        <x:v>US_ETF</x:v>
      </x:c>
      <x:c r="C1165" s="7" t="n">
        <x:v>88.4481879858</x:v>
      </x:c>
      <x:c r="D1165" s="7" t="n">
        <x:v>88.4481879858</x:v>
      </x:c>
      <x:c r="E1165" s="7" t="str">
        <x:v>SYNTHETIC: seeded teaching dataset; not observed market data</x:v>
      </x:c>
      <x:c r="F1165" s="7" t="n">
        <x:v>46266</x:v>
      </x:c>
    </x:row>
    <x:row r="1166" ht="22" customHeight="1">
      <x:c r="A1166" s="8" t="n">
        <x:v>46071</x:v>
      </x:c>
      <x:c r="B1166" s="7" t="str">
        <x:v>US_ETF</x:v>
      </x:c>
      <x:c r="C1166" s="7" t="n">
        <x:v>88.0979738682</x:v>
      </x:c>
      <x:c r="D1166" s="7" t="n">
        <x:v>88.0979738682</x:v>
      </x:c>
      <x:c r="E1166" s="7" t="str">
        <x:v>SYNTHETIC: seeded teaching dataset; not observed market data</x:v>
      </x:c>
      <x:c r="F1166" s="7" t="n">
        <x:v>46266</x:v>
      </x:c>
    </x:row>
    <x:row r="1167" ht="22" customHeight="1">
      <x:c r="A1167" s="8" t="n">
        <x:v>46072</x:v>
      </x:c>
      <x:c r="B1167" s="7" t="str">
        <x:v>US_ETF</x:v>
      </x:c>
      <x:c r="C1167" s="7" t="n">
        <x:v>87.7004321502</x:v>
      </x:c>
      <x:c r="D1167" s="7" t="n">
        <x:v>87.7004321502</x:v>
      </x:c>
      <x:c r="E1167" s="7" t="str">
        <x:v>SYNTHETIC: seeded teaching dataset; not observed market data</x:v>
      </x:c>
      <x:c r="F1167" s="7" t="n">
        <x:v>46266</x:v>
      </x:c>
    </x:row>
    <x:row r="1168" ht="22" customHeight="1">
      <x:c r="A1168" s="8" t="n">
        <x:v>46073</x:v>
      </x:c>
      <x:c r="B1168" s="7" t="str">
        <x:v>US_ETF</x:v>
      </x:c>
      <x:c r="C1168" s="7" t="n">
        <x:v>88.3649457187</x:v>
      </x:c>
      <x:c r="D1168" s="7" t="n">
        <x:v>88.3649457187</x:v>
      </x:c>
      <x:c r="E1168" s="7" t="str">
        <x:v>SYNTHETIC: seeded teaching dataset; not observed market data</x:v>
      </x:c>
      <x:c r="F1168" s="7" t="n">
        <x:v>46266</x:v>
      </x:c>
    </x:row>
    <x:row r="1169" ht="22" customHeight="1">
      <x:c r="A1169" s="8" t="n">
        <x:v>46076</x:v>
      </x:c>
      <x:c r="B1169" s="7" t="str">
        <x:v>US_ETF</x:v>
      </x:c>
      <x:c r="C1169" s="7" t="n">
        <x:v>88.2317647329</x:v>
      </x:c>
      <x:c r="D1169" s="7" t="n">
        <x:v>88.2317647329</x:v>
      </x:c>
      <x:c r="E1169" s="7" t="str">
        <x:v>SYNTHETIC: seeded teaching dataset; not observed market data</x:v>
      </x:c>
      <x:c r="F1169" s="7" t="n">
        <x:v>46266</x:v>
      </x:c>
    </x:row>
    <x:row r="1170" ht="22" customHeight="1">
      <x:c r="A1170" s="8" t="n">
        <x:v>46077</x:v>
      </x:c>
      <x:c r="B1170" s="7" t="str">
        <x:v>US_ETF</x:v>
      </x:c>
      <x:c r="C1170" s="7" t="n">
        <x:v>88.1558087945</x:v>
      </x:c>
      <x:c r="D1170" s="7" t="n">
        <x:v>88.1558087945</x:v>
      </x:c>
      <x:c r="E1170" s="7" t="str">
        <x:v>SYNTHETIC: seeded teaching dataset; not observed market data</x:v>
      </x:c>
      <x:c r="F1170" s="7" t="n">
        <x:v>46266</x:v>
      </x:c>
    </x:row>
    <x:row r="1171" ht="22" customHeight="1">
      <x:c r="A1171" s="8" t="n">
        <x:v>46078</x:v>
      </x:c>
      <x:c r="B1171" s="7" t="str">
        <x:v>US_ETF</x:v>
      </x:c>
      <x:c r="C1171" s="7" t="n">
        <x:v>87.6800276762</x:v>
      </x:c>
      <x:c r="D1171" s="7" t="n">
        <x:v>87.6800276762</x:v>
      </x:c>
      <x:c r="E1171" s="7" t="str">
        <x:v>SYNTHETIC: seeded teaching dataset; not observed market data</x:v>
      </x:c>
      <x:c r="F1171" s="7" t="n">
        <x:v>46266</x:v>
      </x:c>
    </x:row>
    <x:row r="1172" ht="22" customHeight="1">
      <x:c r="A1172" s="8" t="n">
        <x:v>46079</x:v>
      </x:c>
      <x:c r="B1172" s="7" t="str">
        <x:v>US_ETF</x:v>
      </x:c>
      <x:c r="C1172" s="7" t="n">
        <x:v>87.7740138207</x:v>
      </x:c>
      <x:c r="D1172" s="7" t="n">
        <x:v>87.7740138207</x:v>
      </x:c>
      <x:c r="E1172" s="7" t="str">
        <x:v>SYNTHETIC: seeded teaching dataset; not observed market data</x:v>
      </x:c>
      <x:c r="F1172" s="7" t="n">
        <x:v>46266</x:v>
      </x:c>
    </x:row>
    <x:row r="1173" ht="22" customHeight="1">
      <x:c r="A1173" s="8" t="n">
        <x:v>46080</x:v>
      </x:c>
      <x:c r="B1173" s="7" t="str">
        <x:v>US_ETF</x:v>
      </x:c>
      <x:c r="C1173" s="7" t="n">
        <x:v>87.7889372918</x:v>
      </x:c>
      <x:c r="D1173" s="7" t="n">
        <x:v>87.7889372918</x:v>
      </x:c>
      <x:c r="E1173" s="7" t="str">
        <x:v>SYNTHETIC: seeded teaching dataset; not observed market data</x:v>
      </x:c>
      <x:c r="F1173" s="7" t="n">
        <x:v>46266</x:v>
      </x:c>
    </x:row>
    <x:row r="1174" ht="22" customHeight="1">
      <x:c r="A1174" s="8" t="n">
        <x:v>46083</x:v>
      </x:c>
      <x:c r="B1174" s="7" t="str">
        <x:v>US_ETF</x:v>
      </x:c>
      <x:c r="C1174" s="7" t="n">
        <x:v>87.4166352447</x:v>
      </x:c>
      <x:c r="D1174" s="7" t="n">
        <x:v>87.4166352447</x:v>
      </x:c>
      <x:c r="E1174" s="7" t="str">
        <x:v>SYNTHETIC: seeded teaching dataset; not observed market data</x:v>
      </x:c>
      <x:c r="F1174" s="7" t="n">
        <x:v>46266</x:v>
      </x:c>
    </x:row>
    <x:row r="1175" ht="22" customHeight="1">
      <x:c r="A1175" s="8" t="n">
        <x:v>46084</x:v>
      </x:c>
      <x:c r="B1175" s="7" t="str">
        <x:v>US_ETF</x:v>
      </x:c>
      <x:c r="C1175" s="7" t="n">
        <x:v>87.4830195911</x:v>
      </x:c>
      <x:c r="D1175" s="7" t="n">
        <x:v>87.4830195911</x:v>
      </x:c>
      <x:c r="E1175" s="7" t="str">
        <x:v>SYNTHETIC: seeded teaching dataset; not observed market data</x:v>
      </x:c>
      <x:c r="F1175" s="7" t="n">
        <x:v>46266</x:v>
      </x:c>
    </x:row>
    <x:row r="1176" ht="22" customHeight="1">
      <x:c r="A1176" s="8" t="n">
        <x:v>46085</x:v>
      </x:c>
      <x:c r="B1176" s="7" t="str">
        <x:v>US_ETF</x:v>
      </x:c>
      <x:c r="C1176" s="7" t="n">
        <x:v>87.601779128</x:v>
      </x:c>
      <x:c r="D1176" s="7" t="n">
        <x:v>87.601779128</x:v>
      </x:c>
      <x:c r="E1176" s="7" t="str">
        <x:v>SYNTHETIC: seeded teaching dataset; not observed market data</x:v>
      </x:c>
      <x:c r="F1176" s="7" t="n">
        <x:v>46266</x:v>
      </x:c>
    </x:row>
    <x:row r="1177" ht="22" customHeight="1">
      <x:c r="A1177" s="8" t="n">
        <x:v>46086</x:v>
      </x:c>
      <x:c r="B1177" s="7" t="str">
        <x:v>US_ETF</x:v>
      </x:c>
      <x:c r="C1177" s="7" t="n">
        <x:v>87.5071304417</x:v>
      </x:c>
      <x:c r="D1177" s="7" t="n">
        <x:v>87.5071304417</x:v>
      </x:c>
      <x:c r="E1177" s="7" t="str">
        <x:v>SYNTHETIC: seeded teaching dataset; not observed market data</x:v>
      </x:c>
      <x:c r="F1177" s="7" t="n">
        <x:v>46266</x:v>
      </x:c>
    </x:row>
    <x:row r="1178" ht="22" customHeight="1">
      <x:c r="A1178" s="8" t="n">
        <x:v>46087</x:v>
      </x:c>
      <x:c r="B1178" s="7" t="str">
        <x:v>US_ETF</x:v>
      </x:c>
      <x:c r="C1178" s="7" t="n">
        <x:v>87.6256976351</x:v>
      </x:c>
      <x:c r="D1178" s="7" t="n">
        <x:v>87.6256976351</x:v>
      </x:c>
      <x:c r="E1178" s="7" t="str">
        <x:v>SYNTHETIC: seeded teaching dataset; not observed market data</x:v>
      </x:c>
      <x:c r="F1178" s="7" t="n">
        <x:v>46266</x:v>
      </x:c>
    </x:row>
    <x:row r="1179" ht="22" customHeight="1">
      <x:c r="A1179" s="8" t="n">
        <x:v>46090</x:v>
      </x:c>
      <x:c r="B1179" s="7" t="str">
        <x:v>US_ETF</x:v>
      </x:c>
      <x:c r="C1179" s="7" t="n">
        <x:v>86.9701828694</x:v>
      </x:c>
      <x:c r="D1179" s="7" t="n">
        <x:v>86.9701828694</x:v>
      </x:c>
      <x:c r="E1179" s="7" t="str">
        <x:v>SYNTHETIC: seeded teaching dataset; not observed market data</x:v>
      </x:c>
      <x:c r="F1179" s="7" t="n">
        <x:v>46266</x:v>
      </x:c>
    </x:row>
    <x:row r="1180" ht="22" customHeight="1">
      <x:c r="A1180" s="8" t="n">
        <x:v>46091</x:v>
      </x:c>
      <x:c r="B1180" s="7" t="str">
        <x:v>US_ETF</x:v>
      </x:c>
      <x:c r="C1180" s="7" t="n">
        <x:v>86.4027216985</x:v>
      </x:c>
      <x:c r="D1180" s="7" t="n">
        <x:v>86.4027216985</x:v>
      </x:c>
      <x:c r="E1180" s="7" t="str">
        <x:v>SYNTHETIC: seeded teaching dataset; not observed market data</x:v>
      </x:c>
      <x:c r="F1180" s="7" t="n">
        <x:v>46266</x:v>
      </x:c>
    </x:row>
    <x:row r="1181" ht="22" customHeight="1">
      <x:c r="A1181" s="8" t="n">
        <x:v>46092</x:v>
      </x:c>
      <x:c r="B1181" s="7" t="str">
        <x:v>US_ETF</x:v>
      </x:c>
      <x:c r="C1181" s="7" t="n">
        <x:v>86.9452962731</x:v>
      </x:c>
      <x:c r="D1181" s="7" t="n">
        <x:v>86.9452962731</x:v>
      </x:c>
      <x:c r="E1181" s="7" t="str">
        <x:v>SYNTHETIC: seeded teaching dataset; not observed market data</x:v>
      </x:c>
      <x:c r="F1181" s="7" t="n">
        <x:v>46266</x:v>
      </x:c>
    </x:row>
    <x:row r="1182" ht="22" customHeight="1">
      <x:c r="A1182" s="8" t="n">
        <x:v>46093</x:v>
      </x:c>
      <x:c r="B1182" s="7" t="str">
        <x:v>US_ETF</x:v>
      </x:c>
      <x:c r="C1182" s="7" t="n">
        <x:v>87.1858833497</x:v>
      </x:c>
      <x:c r="D1182" s="7" t="n">
        <x:v>87.1858833497</x:v>
      </x:c>
      <x:c r="E1182" s="7" t="str">
        <x:v>SYNTHETIC: seeded teaching dataset; not observed market data</x:v>
      </x:c>
      <x:c r="F1182" s="7" t="n">
        <x:v>46266</x:v>
      </x:c>
    </x:row>
    <x:row r="1183" ht="22" customHeight="1">
      <x:c r="A1183" s="8" t="n">
        <x:v>46094</x:v>
      </x:c>
      <x:c r="B1183" s="7" t="str">
        <x:v>US_ETF</x:v>
      </x:c>
      <x:c r="C1183" s="7" t="n">
        <x:v>87.134321934</x:v>
      </x:c>
      <x:c r="D1183" s="7" t="n">
        <x:v>87.134321934</x:v>
      </x:c>
      <x:c r="E1183" s="7" t="str">
        <x:v>SYNTHETIC: seeded teaching dataset; not observed market data</x:v>
      </x:c>
      <x:c r="F1183" s="7" t="n">
        <x:v>46266</x:v>
      </x:c>
    </x:row>
    <x:row r="1184" ht="22" customHeight="1">
      <x:c r="A1184" s="8" t="n">
        <x:v>46097</x:v>
      </x:c>
      <x:c r="B1184" s="7" t="str">
        <x:v>US_ETF</x:v>
      </x:c>
      <x:c r="C1184" s="7" t="n">
        <x:v>86.9267935608</x:v>
      </x:c>
      <x:c r="D1184" s="7" t="n">
        <x:v>86.9267935608</x:v>
      </x:c>
      <x:c r="E1184" s="7" t="str">
        <x:v>SYNTHETIC: seeded teaching dataset; not observed market data</x:v>
      </x:c>
      <x:c r="F1184" s="7" t="n">
        <x:v>46266</x:v>
      </x:c>
    </x:row>
    <x:row r="1185" ht="22" customHeight="1">
      <x:c r="A1185" s="8" t="n">
        <x:v>46098</x:v>
      </x:c>
      <x:c r="B1185" s="7" t="str">
        <x:v>US_ETF</x:v>
      </x:c>
      <x:c r="C1185" s="7" t="n">
        <x:v>87.1170497221</x:v>
      </x:c>
      <x:c r="D1185" s="7" t="n">
        <x:v>87.1170497221</x:v>
      </x:c>
      <x:c r="E1185" s="7" t="str">
        <x:v>SYNTHETIC: seeded teaching dataset; not observed market data</x:v>
      </x:c>
      <x:c r="F1185" s="7" t="n">
        <x:v>46266</x:v>
      </x:c>
    </x:row>
    <x:row r="1186" ht="22" customHeight="1">
      <x:c r="A1186" s="8" t="n">
        <x:v>46099</x:v>
      </x:c>
      <x:c r="B1186" s="7" t="str">
        <x:v>US_ETF</x:v>
      </x:c>
      <x:c r="C1186" s="7" t="n">
        <x:v>87.075222339</x:v>
      </x:c>
      <x:c r="D1186" s="7" t="n">
        <x:v>87.075222339</x:v>
      </x:c>
      <x:c r="E1186" s="7" t="str">
        <x:v>SYNTHETIC: seeded teaching dataset; not observed market data</x:v>
      </x:c>
      <x:c r="F1186" s="7" t="n">
        <x:v>46266</x:v>
      </x:c>
    </x:row>
    <x:row r="1187" ht="22" customHeight="1">
      <x:c r="A1187" s="8" t="n">
        <x:v>46100</x:v>
      </x:c>
      <x:c r="B1187" s="7" t="str">
        <x:v>US_ETF</x:v>
      </x:c>
      <x:c r="C1187" s="7" t="n">
        <x:v>87.518397353</x:v>
      </x:c>
      <x:c r="D1187" s="7" t="n">
        <x:v>87.518397353</x:v>
      </x:c>
      <x:c r="E1187" s="7" t="str">
        <x:v>SYNTHETIC: seeded teaching dataset; not observed market data</x:v>
      </x:c>
      <x:c r="F1187" s="7" t="n">
        <x:v>46266</x:v>
      </x:c>
    </x:row>
    <x:row r="1188" ht="22" customHeight="1">
      <x:c r="A1188" s="8" t="n">
        <x:v>46101</x:v>
      </x:c>
      <x:c r="B1188" s="7" t="str">
        <x:v>US_ETF</x:v>
      </x:c>
      <x:c r="C1188" s="7" t="n">
        <x:v>87.8966704561</x:v>
      </x:c>
      <x:c r="D1188" s="7" t="n">
        <x:v>87.8966704561</x:v>
      </x:c>
      <x:c r="E1188" s="7" t="str">
        <x:v>SYNTHETIC: seeded teaching dataset; not observed market data</x:v>
      </x:c>
      <x:c r="F1188" s="7" t="n">
        <x:v>46266</x:v>
      </x:c>
    </x:row>
    <x:row r="1189" ht="22" customHeight="1">
      <x:c r="A1189" s="8" t="n">
        <x:v>46104</x:v>
      </x:c>
      <x:c r="B1189" s="7" t="str">
        <x:v>US_ETF</x:v>
      </x:c>
      <x:c r="C1189" s="7" t="n">
        <x:v>87.5109593089</x:v>
      </x:c>
      <x:c r="D1189" s="7" t="n">
        <x:v>87.5109593089</x:v>
      </x:c>
      <x:c r="E1189" s="7" t="str">
        <x:v>SYNTHETIC: seeded teaching dataset; not observed market data</x:v>
      </x:c>
      <x:c r="F1189" s="7" t="n">
        <x:v>46266</x:v>
      </x:c>
    </x:row>
    <x:row r="1190" ht="22" customHeight="1">
      <x:c r="A1190" s="8" t="n">
        <x:v>46105</x:v>
      </x:c>
      <x:c r="B1190" s="7" t="str">
        <x:v>US_ETF</x:v>
      </x:c>
      <x:c r="C1190" s="7" t="n">
        <x:v>87.5636157716</x:v>
      </x:c>
      <x:c r="D1190" s="7" t="n">
        <x:v>87.5636157716</x:v>
      </x:c>
      <x:c r="E1190" s="7" t="str">
        <x:v>SYNTHETIC: seeded teaching dataset; not observed market data</x:v>
      </x:c>
      <x:c r="F1190" s="7" t="n">
        <x:v>46266</x:v>
      </x:c>
    </x:row>
    <x:row r="1191" ht="22" customHeight="1">
      <x:c r="A1191" s="8" t="n">
        <x:v>46106</x:v>
      </x:c>
      <x:c r="B1191" s="7" t="str">
        <x:v>US_ETF</x:v>
      </x:c>
      <x:c r="C1191" s="7" t="n">
        <x:v>87.8143575</x:v>
      </x:c>
      <x:c r="D1191" s="7" t="n">
        <x:v>87.8143575</x:v>
      </x:c>
      <x:c r="E1191" s="7" t="str">
        <x:v>SYNTHETIC: seeded teaching dataset; not observed market data</x:v>
      </x:c>
      <x:c r="F1191" s="7" t="n">
        <x:v>46266</x:v>
      </x:c>
    </x:row>
    <x:row r="1192" ht="22" customHeight="1">
      <x:c r="A1192" s="8" t="n">
        <x:v>46107</x:v>
      </x:c>
      <x:c r="B1192" s="7" t="str">
        <x:v>US_ETF</x:v>
      </x:c>
      <x:c r="C1192" s="7" t="n">
        <x:v>88.0800197107</x:v>
      </x:c>
      <x:c r="D1192" s="7" t="n">
        <x:v>88.0800197107</x:v>
      </x:c>
      <x:c r="E1192" s="7" t="str">
        <x:v>SYNTHETIC: seeded teaching dataset; not observed market data</x:v>
      </x:c>
      <x:c r="F1192" s="7" t="n">
        <x:v>46266</x:v>
      </x:c>
    </x:row>
    <x:row r="1193" ht="22" customHeight="1">
      <x:c r="A1193" s="8" t="n">
        <x:v>46108</x:v>
      </x:c>
      <x:c r="B1193" s="7" t="str">
        <x:v>US_ETF</x:v>
      </x:c>
      <x:c r="C1193" s="7" t="n">
        <x:v>88.5976571516</x:v>
      </x:c>
      <x:c r="D1193" s="7" t="n">
        <x:v>88.5976571516</x:v>
      </x:c>
      <x:c r="E1193" s="7" t="str">
        <x:v>SYNTHETIC: seeded teaching dataset; not observed market data</x:v>
      </x:c>
      <x:c r="F1193" s="7" t="n">
        <x:v>46266</x:v>
      </x:c>
    </x:row>
    <x:row r="1194" ht="22" customHeight="1">
      <x:c r="A1194" s="8" t="n">
        <x:v>46111</x:v>
      </x:c>
      <x:c r="B1194" s="7" t="str">
        <x:v>US_ETF</x:v>
      </x:c>
      <x:c r="C1194" s="7" t="n">
        <x:v>89.0263164816</x:v>
      </x:c>
      <x:c r="D1194" s="7" t="n">
        <x:v>89.0263164816</x:v>
      </x:c>
      <x:c r="E1194" s="7" t="str">
        <x:v>SYNTHETIC: seeded teaching dataset; not observed market data</x:v>
      </x:c>
      <x:c r="F1194" s="7" t="n">
        <x:v>46266</x:v>
      </x:c>
    </x:row>
    <x:row r="1195" ht="22" customHeight="1">
      <x:c r="A1195" s="8" t="n">
        <x:v>46112</x:v>
      </x:c>
      <x:c r="B1195" s="7" t="str">
        <x:v>US_ETF</x:v>
      </x:c>
      <x:c r="C1195" s="7" t="n">
        <x:v>88.8391876564</x:v>
      </x:c>
      <x:c r="D1195" s="7" t="n">
        <x:v>88.8391876564</x:v>
      </x:c>
      <x:c r="E1195" s="7" t="str">
        <x:v>SYNTHETIC: seeded teaching dataset; not observed market data</x:v>
      </x:c>
      <x:c r="F1195" s="7" t="n">
        <x:v>46266</x:v>
      </x:c>
    </x:row>
    <x:row r="1196" ht="22" customHeight="1">
      <x:c r="A1196" s="8" t="n">
        <x:v>46113</x:v>
      </x:c>
      <x:c r="B1196" s="7" t="str">
        <x:v>US_ETF</x:v>
      </x:c>
      <x:c r="C1196" s="7" t="n">
        <x:v>89.5384173716</x:v>
      </x:c>
      <x:c r="D1196" s="7" t="n">
        <x:v>89.5384173716</x:v>
      </x:c>
      <x:c r="E1196" s="7" t="str">
        <x:v>SYNTHETIC: seeded teaching dataset; not observed market data</x:v>
      </x:c>
      <x:c r="F1196" s="7" t="n">
        <x:v>46266</x:v>
      </x:c>
    </x:row>
    <x:row r="1197" ht="22" customHeight="1">
      <x:c r="A1197" s="8" t="n">
        <x:v>46114</x:v>
      </x:c>
      <x:c r="B1197" s="7" t="str">
        <x:v>US_ETF</x:v>
      </x:c>
      <x:c r="C1197" s="7" t="n">
        <x:v>89.3919845594</x:v>
      </x:c>
      <x:c r="D1197" s="7" t="n">
        <x:v>89.3919845594</x:v>
      </x:c>
      <x:c r="E1197" s="7" t="str">
        <x:v>SYNTHETIC: seeded teaching dataset; not observed market data</x:v>
      </x:c>
      <x:c r="F1197" s="7" t="n">
        <x:v>46266</x:v>
      </x:c>
    </x:row>
    <x:row r="1198" ht="22" customHeight="1">
      <x:c r="A1198" s="8" t="n">
        <x:v>46115</x:v>
      </x:c>
      <x:c r="B1198" s="7" t="str">
        <x:v>US_ETF</x:v>
      </x:c>
      <x:c r="C1198" s="7" t="n">
        <x:v>89.7304578078</x:v>
      </x:c>
      <x:c r="D1198" s="7" t="n">
        <x:v>89.7304578078</x:v>
      </x:c>
      <x:c r="E1198" s="7" t="str">
        <x:v>SYNTHETIC: seeded teaching dataset; not observed market data</x:v>
      </x:c>
      <x:c r="F1198" s="7" t="n">
        <x:v>46266</x:v>
      </x:c>
    </x:row>
    <x:row r="1199" ht="22" customHeight="1">
      <x:c r="A1199" s="8" t="n">
        <x:v>46118</x:v>
      </x:c>
      <x:c r="B1199" s="7" t="str">
        <x:v>US_ETF</x:v>
      </x:c>
      <x:c r="C1199" s="7" t="n">
        <x:v>89.4014642212</x:v>
      </x:c>
      <x:c r="D1199" s="7" t="n">
        <x:v>89.4014642212</x:v>
      </x:c>
      <x:c r="E1199" s="7" t="str">
        <x:v>SYNTHETIC: seeded teaching dataset; not observed market data</x:v>
      </x:c>
      <x:c r="F1199" s="7" t="n">
        <x:v>46266</x:v>
      </x:c>
    </x:row>
    <x:row r="1200" ht="22" customHeight="1">
      <x:c r="A1200" s="8" t="n">
        <x:v>46119</x:v>
      </x:c>
      <x:c r="B1200" s="7" t="str">
        <x:v>US_ETF</x:v>
      </x:c>
      <x:c r="C1200" s="7" t="n">
        <x:v>89.6819766153</x:v>
      </x:c>
      <x:c r="D1200" s="7" t="n">
        <x:v>89.6819766153</x:v>
      </x:c>
      <x:c r="E1200" s="7" t="str">
        <x:v>SYNTHETIC: seeded teaching dataset; not observed market data</x:v>
      </x:c>
      <x:c r="F1200" s="7" t="n">
        <x:v>46266</x:v>
      </x:c>
    </x:row>
    <x:row r="1201" ht="22" customHeight="1">
      <x:c r="A1201" s="8" t="n">
        <x:v>46120</x:v>
      </x:c>
      <x:c r="B1201" s="7" t="str">
        <x:v>US_ETF</x:v>
      </x:c>
      <x:c r="C1201" s="7" t="n">
        <x:v>90.1527880078</x:v>
      </x:c>
      <x:c r="D1201" s="7" t="n">
        <x:v>90.1527880078</x:v>
      </x:c>
      <x:c r="E1201" s="7" t="str">
        <x:v>SYNTHETIC: seeded teaching dataset; not observed market data</x:v>
      </x:c>
      <x:c r="F1201" s="7" t="n">
        <x:v>46266</x:v>
      </x:c>
    </x:row>
    <x:row r="1202" ht="22" customHeight="1">
      <x:c r="A1202" s="8" t="n">
        <x:v>46121</x:v>
      </x:c>
      <x:c r="B1202" s="7" t="str">
        <x:v>US_ETF</x:v>
      </x:c>
      <x:c r="C1202" s="7" t="n">
        <x:v>90.2044273785</x:v>
      </x:c>
      <x:c r="D1202" s="7" t="n">
        <x:v>90.2044273785</x:v>
      </x:c>
      <x:c r="E1202" s="7" t="str">
        <x:v>SYNTHETIC: seeded teaching dataset; not observed market data</x:v>
      </x:c>
      <x:c r="F1202" s="7" t="n">
        <x:v>46266</x:v>
      </x:c>
    </x:row>
    <x:row r="1203" ht="22" customHeight="1">
      <x:c r="A1203" s="8" t="n">
        <x:v>46122</x:v>
      </x:c>
      <x:c r="B1203" s="7" t="str">
        <x:v>US_ETF</x:v>
      </x:c>
      <x:c r="C1203" s="7" t="n">
        <x:v>90.2889241435</x:v>
      </x:c>
      <x:c r="D1203" s="7" t="n">
        <x:v>90.2889241435</x:v>
      </x:c>
      <x:c r="E1203" s="7" t="str">
        <x:v>SYNTHETIC: seeded teaching dataset; not observed market data</x:v>
      </x:c>
      <x:c r="F1203" s="7" t="n">
        <x:v>46266</x:v>
      </x:c>
    </x:row>
    <x:row r="1204" ht="22" customHeight="1">
      <x:c r="A1204" s="8" t="n">
        <x:v>46125</x:v>
      </x:c>
      <x:c r="B1204" s="7" t="str">
        <x:v>US_ETF</x:v>
      </x:c>
      <x:c r="C1204" s="7" t="n">
        <x:v>90.6186635342</x:v>
      </x:c>
      <x:c r="D1204" s="7" t="n">
        <x:v>90.6186635342</x:v>
      </x:c>
      <x:c r="E1204" s="7" t="str">
        <x:v>SYNTHETIC: seeded teaching dataset; not observed market data</x:v>
      </x:c>
      <x:c r="F1204" s="7" t="n">
        <x:v>46266</x:v>
      </x:c>
    </x:row>
    <x:row r="1205" ht="22" customHeight="1">
      <x:c r="A1205" s="8" t="n">
        <x:v>46126</x:v>
      </x:c>
      <x:c r="B1205" s="7" t="str">
        <x:v>US_ETF</x:v>
      </x:c>
      <x:c r="C1205" s="7" t="n">
        <x:v>90.723405678</x:v>
      </x:c>
      <x:c r="D1205" s="7" t="n">
        <x:v>90.723405678</x:v>
      </x:c>
      <x:c r="E1205" s="7" t="str">
        <x:v>SYNTHETIC: seeded teaching dataset; not observed market data</x:v>
      </x:c>
      <x:c r="F1205" s="7" t="n">
        <x:v>46266</x:v>
      </x:c>
    </x:row>
    <x:row r="1206" ht="22" customHeight="1">
      <x:c r="A1206" s="8" t="n">
        <x:v>46127</x:v>
      </x:c>
      <x:c r="B1206" s="7" t="str">
        <x:v>US_ETF</x:v>
      </x:c>
      <x:c r="C1206" s="7" t="n">
        <x:v>91.2088820772</x:v>
      </x:c>
      <x:c r="D1206" s="7" t="n">
        <x:v>91.2088820772</x:v>
      </x:c>
      <x:c r="E1206" s="7" t="str">
        <x:v>SYNTHETIC: seeded teaching dataset; not observed market data</x:v>
      </x:c>
      <x:c r="F1206" s="7" t="n">
        <x:v>46266</x:v>
      </x:c>
    </x:row>
    <x:row r="1207" ht="22" customHeight="1">
      <x:c r="A1207" s="8" t="n">
        <x:v>46128</x:v>
      </x:c>
      <x:c r="B1207" s="7" t="str">
        <x:v>US_ETF</x:v>
      </x:c>
      <x:c r="C1207" s="7" t="n">
        <x:v>91.382649302</x:v>
      </x:c>
      <x:c r="D1207" s="7" t="n">
        <x:v>91.382649302</x:v>
      </x:c>
      <x:c r="E1207" s="7" t="str">
        <x:v>SYNTHETIC: seeded teaching dataset; not observed market data</x:v>
      </x:c>
      <x:c r="F1207" s="7" t="n">
        <x:v>46266</x:v>
      </x:c>
    </x:row>
    <x:row r="1208" ht="22" customHeight="1">
      <x:c r="A1208" s="8" t="n">
        <x:v>46129</x:v>
      </x:c>
      <x:c r="B1208" s="7" t="str">
        <x:v>US_ETF</x:v>
      </x:c>
      <x:c r="C1208" s="7" t="n">
        <x:v>91.1665251414</x:v>
      </x:c>
      <x:c r="D1208" s="7" t="n">
        <x:v>91.1665251414</x:v>
      </x:c>
      <x:c r="E1208" s="7" t="str">
        <x:v>SYNTHETIC: seeded teaching dataset; not observed market data</x:v>
      </x:c>
      <x:c r="F1208" s="7" t="n">
        <x:v>46266</x:v>
      </x:c>
    </x:row>
    <x:row r="1209" ht="22" customHeight="1">
      <x:c r="A1209" s="8" t="n">
        <x:v>46132</x:v>
      </x:c>
      <x:c r="B1209" s="7" t="str">
        <x:v>US_ETF</x:v>
      </x:c>
      <x:c r="C1209" s="7" t="n">
        <x:v>91.3809016959</x:v>
      </x:c>
      <x:c r="D1209" s="7" t="n">
        <x:v>91.3809016959</x:v>
      </x:c>
      <x:c r="E1209" s="7" t="str">
        <x:v>SYNTHETIC: seeded teaching dataset; not observed market data</x:v>
      </x:c>
      <x:c r="F1209" s="7" t="n">
        <x:v>46266</x:v>
      </x:c>
    </x:row>
    <x:row r="1210" ht="22" customHeight="1">
      <x:c r="A1210" s="8" t="n">
        <x:v>46133</x:v>
      </x:c>
      <x:c r="B1210" s="7" t="str">
        <x:v>US_ETF</x:v>
      </x:c>
      <x:c r="C1210" s="7" t="n">
        <x:v>91.3004006101</x:v>
      </x:c>
      <x:c r="D1210" s="7" t="n">
        <x:v>91.3004006101</x:v>
      </x:c>
      <x:c r="E1210" s="7" t="str">
        <x:v>SYNTHETIC: seeded teaching dataset; not observed market data</x:v>
      </x:c>
      <x:c r="F1210" s="7" t="n">
        <x:v>46266</x:v>
      </x:c>
    </x:row>
    <x:row r="1211" ht="22" customHeight="1">
      <x:c r="A1211" s="8" t="n">
        <x:v>46134</x:v>
      </x:c>
      <x:c r="B1211" s="7" t="str">
        <x:v>US_ETF</x:v>
      </x:c>
      <x:c r="C1211" s="7" t="n">
        <x:v>91.1337402756</x:v>
      </x:c>
      <x:c r="D1211" s="7" t="n">
        <x:v>91.1337402756</x:v>
      </x:c>
      <x:c r="E1211" s="7" t="str">
        <x:v>SYNTHETIC: seeded teaching dataset; not observed market data</x:v>
      </x:c>
      <x:c r="F1211" s="7" t="n">
        <x:v>46266</x:v>
      </x:c>
    </x:row>
    <x:row r="1212" ht="22" customHeight="1">
      <x:c r="A1212" s="8" t="n">
        <x:v>46135</x:v>
      </x:c>
      <x:c r="B1212" s="7" t="str">
        <x:v>US_ETF</x:v>
      </x:c>
      <x:c r="C1212" s="7" t="n">
        <x:v>91.1395851166</x:v>
      </x:c>
      <x:c r="D1212" s="7" t="n">
        <x:v>91.1395851166</x:v>
      </x:c>
      <x:c r="E1212" s="7" t="str">
        <x:v>SYNTHETIC: seeded teaching dataset; not observed market data</x:v>
      </x:c>
      <x:c r="F1212" s="7" t="n">
        <x:v>46266</x:v>
      </x:c>
    </x:row>
    <x:row r="1213" ht="22" customHeight="1">
      <x:c r="A1213" s="8" t="n">
        <x:v>46136</x:v>
      </x:c>
      <x:c r="B1213" s="7" t="str">
        <x:v>US_ETF</x:v>
      </x:c>
      <x:c r="C1213" s="7" t="n">
        <x:v>91.2908254896</x:v>
      </x:c>
      <x:c r="D1213" s="7" t="n">
        <x:v>91.2908254896</x:v>
      </x:c>
      <x:c r="E1213" s="7" t="str">
        <x:v>SYNTHETIC: seeded teaching dataset; not observed market data</x:v>
      </x:c>
      <x:c r="F1213" s="7" t="n">
        <x:v>46266</x:v>
      </x:c>
    </x:row>
    <x:row r="1214" ht="22" customHeight="1">
      <x:c r="A1214" s="8" t="n">
        <x:v>46139</x:v>
      </x:c>
      <x:c r="B1214" s="7" t="str">
        <x:v>US_ETF</x:v>
      </x:c>
      <x:c r="C1214" s="7" t="n">
        <x:v>91.2588616957</x:v>
      </x:c>
      <x:c r="D1214" s="7" t="n">
        <x:v>91.2588616957</x:v>
      </x:c>
      <x:c r="E1214" s="7" t="str">
        <x:v>SYNTHETIC: seeded teaching dataset; not observed market data</x:v>
      </x:c>
      <x:c r="F1214" s="7" t="n">
        <x:v>46266</x:v>
      </x:c>
    </x:row>
    <x:row r="1215" ht="22" customHeight="1">
      <x:c r="A1215" s="8" t="n">
        <x:v>46140</x:v>
      </x:c>
      <x:c r="B1215" s="7" t="str">
        <x:v>US_ETF</x:v>
      </x:c>
      <x:c r="C1215" s="7" t="n">
        <x:v>91.4836369398</x:v>
      </x:c>
      <x:c r="D1215" s="7" t="n">
        <x:v>91.4836369398</x:v>
      </x:c>
      <x:c r="E1215" s="7" t="str">
        <x:v>SYNTHETIC: seeded teaching dataset; not observed market data</x:v>
      </x:c>
      <x:c r="F1215" s="7" t="n">
        <x:v>46266</x:v>
      </x:c>
    </x:row>
    <x:row r="1216" ht="22" customHeight="1">
      <x:c r="A1216" s="8" t="n">
        <x:v>46141</x:v>
      </x:c>
      <x:c r="B1216" s="7" t="str">
        <x:v>US_ETF</x:v>
      </x:c>
      <x:c r="C1216" s="7" t="n">
        <x:v>91.412115599</x:v>
      </x:c>
      <x:c r="D1216" s="7" t="n">
        <x:v>91.412115599</x:v>
      </x:c>
      <x:c r="E1216" s="7" t="str">
        <x:v>SYNTHETIC: seeded teaching dataset; not observed market data</x:v>
      </x:c>
      <x:c r="F1216" s="7" t="n">
        <x:v>46266</x:v>
      </x:c>
    </x:row>
    <x:row r="1217" ht="22" customHeight="1">
      <x:c r="A1217" s="8" t="n">
        <x:v>46142</x:v>
      </x:c>
      <x:c r="B1217" s="7" t="str">
        <x:v>US_ETF</x:v>
      </x:c>
      <x:c r="C1217" s="7" t="n">
        <x:v>91.2144873903</x:v>
      </x:c>
      <x:c r="D1217" s="7" t="n">
        <x:v>91.2144873903</x:v>
      </x:c>
      <x:c r="E1217" s="7" t="str">
        <x:v>SYNTHETIC: seeded teaching dataset; not observed market data</x:v>
      </x:c>
      <x:c r="F1217" s="7" t="n">
        <x:v>46266</x:v>
      </x:c>
    </x:row>
    <x:row r="1218" ht="22" customHeight="1">
      <x:c r="A1218" s="8" t="n">
        <x:v>46143</x:v>
      </x:c>
      <x:c r="B1218" s="7" t="str">
        <x:v>US_ETF</x:v>
      </x:c>
      <x:c r="C1218" s="7" t="n">
        <x:v>90.528960914</x:v>
      </x:c>
      <x:c r="D1218" s="7" t="n">
        <x:v>90.528960914</x:v>
      </x:c>
      <x:c r="E1218" s="7" t="str">
        <x:v>SYNTHETIC: seeded teaching dataset; not observed market data</x:v>
      </x:c>
      <x:c r="F1218" s="7" t="n">
        <x:v>46266</x:v>
      </x:c>
    </x:row>
    <x:row r="1219" ht="22" customHeight="1">
      <x:c r="A1219" s="8" t="n">
        <x:v>46146</x:v>
      </x:c>
      <x:c r="B1219" s="7" t="str">
        <x:v>US_ETF</x:v>
      </x:c>
      <x:c r="C1219" s="7" t="n">
        <x:v>90.473381659</x:v>
      </x:c>
      <x:c r="D1219" s="7" t="n">
        <x:v>90.473381659</x:v>
      </x:c>
      <x:c r="E1219" s="7" t="str">
        <x:v>SYNTHETIC: seeded teaching dataset; not observed market data</x:v>
      </x:c>
      <x:c r="F1219" s="7" t="n">
        <x:v>46266</x:v>
      </x:c>
    </x:row>
    <x:row r="1220" ht="22" customHeight="1">
      <x:c r="A1220" s="8" t="n">
        <x:v>46147</x:v>
      </x:c>
      <x:c r="B1220" s="7" t="str">
        <x:v>US_ETF</x:v>
      </x:c>
      <x:c r="C1220" s="7" t="n">
        <x:v>90.6504631925</x:v>
      </x:c>
      <x:c r="D1220" s="7" t="n">
        <x:v>90.6504631925</x:v>
      </x:c>
      <x:c r="E1220" s="7" t="str">
        <x:v>SYNTHETIC: seeded teaching dataset; not observed market data</x:v>
      </x:c>
      <x:c r="F1220" s="7" t="n">
        <x:v>46266</x:v>
      </x:c>
    </x:row>
    <x:row r="1221" ht="22" customHeight="1">
      <x:c r="A1221" s="8" t="n">
        <x:v>46148</x:v>
      </x:c>
      <x:c r="B1221" s="7" t="str">
        <x:v>US_ETF</x:v>
      </x:c>
      <x:c r="C1221" s="7" t="n">
        <x:v>90.5398872913</x:v>
      </x:c>
      <x:c r="D1221" s="7" t="n">
        <x:v>90.5398872913</x:v>
      </x:c>
      <x:c r="E1221" s="7" t="str">
        <x:v>SYNTHETIC: seeded teaching dataset; not observed market data</x:v>
      </x:c>
      <x:c r="F1221" s="7" t="n">
        <x:v>46266</x:v>
      </x:c>
    </x:row>
    <x:row r="1222" ht="22" customHeight="1">
      <x:c r="A1222" s="8" t="n">
        <x:v>46149</x:v>
      </x:c>
      <x:c r="B1222" s="7" t="str">
        <x:v>US_ETF</x:v>
      </x:c>
      <x:c r="C1222" s="7" t="n">
        <x:v>90.3299316378</x:v>
      </x:c>
      <x:c r="D1222" s="7" t="n">
        <x:v>90.3299316378</x:v>
      </x:c>
      <x:c r="E1222" s="7" t="str">
        <x:v>SYNTHETIC: seeded teaching dataset; not observed market data</x:v>
      </x:c>
      <x:c r="F1222" s="7" t="n">
        <x:v>46266</x:v>
      </x:c>
    </x:row>
    <x:row r="1223" ht="22" customHeight="1">
      <x:c r="A1223" s="8" t="n">
        <x:v>46150</x:v>
      </x:c>
      <x:c r="B1223" s="7" t="str">
        <x:v>US_ETF</x:v>
      </x:c>
      <x:c r="C1223" s="7" t="n">
        <x:v>90.071988753</x:v>
      </x:c>
      <x:c r="D1223" s="7" t="n">
        <x:v>90.071988753</x:v>
      </x:c>
      <x:c r="E1223" s="7" t="str">
        <x:v>SYNTHETIC: seeded teaching dataset; not observed market data</x:v>
      </x:c>
      <x:c r="F1223" s="7" t="n">
        <x:v>46266</x:v>
      </x:c>
    </x:row>
    <x:row r="1224" ht="22" customHeight="1">
      <x:c r="A1224" s="8" t="n">
        <x:v>46153</x:v>
      </x:c>
      <x:c r="B1224" s="7" t="str">
        <x:v>US_ETF</x:v>
      </x:c>
      <x:c r="C1224" s="7" t="n">
        <x:v>90.4535177394</x:v>
      </x:c>
      <x:c r="D1224" s="7" t="n">
        <x:v>90.4535177394</x:v>
      </x:c>
      <x:c r="E1224" s="7" t="str">
        <x:v>SYNTHETIC: seeded teaching dataset; not observed market data</x:v>
      </x:c>
      <x:c r="F1224" s="7" t="n">
        <x:v>46266</x:v>
      </x:c>
    </x:row>
    <x:row r="1225" ht="22" customHeight="1">
      <x:c r="A1225" s="8" t="n">
        <x:v>46154</x:v>
      </x:c>
      <x:c r="B1225" s="7" t="str">
        <x:v>US_ETF</x:v>
      </x:c>
      <x:c r="C1225" s="7" t="n">
        <x:v>89.5715873044</x:v>
      </x:c>
      <x:c r="D1225" s="7" t="n">
        <x:v>89.5715873044</x:v>
      </x:c>
      <x:c r="E1225" s="7" t="str">
        <x:v>SYNTHETIC: seeded teaching dataset; not observed market data</x:v>
      </x:c>
      <x:c r="F1225" s="7" t="n">
        <x:v>46266</x:v>
      </x:c>
    </x:row>
    <x:row r="1226" ht="22" customHeight="1">
      <x:c r="A1226" s="8" t="n">
        <x:v>46155</x:v>
      </x:c>
      <x:c r="B1226" s="7" t="str">
        <x:v>US_ETF</x:v>
      </x:c>
      <x:c r="C1226" s="7" t="n">
        <x:v>89.449248397</x:v>
      </x:c>
      <x:c r="D1226" s="7" t="n">
        <x:v>89.449248397</x:v>
      </x:c>
      <x:c r="E1226" s="7" t="str">
        <x:v>SYNTHETIC: seeded teaching dataset; not observed market data</x:v>
      </x:c>
      <x:c r="F1226" s="7" t="n">
        <x:v>46266</x:v>
      </x:c>
    </x:row>
    <x:row r="1227" ht="22" customHeight="1">
      <x:c r="A1227" s="8" t="n">
        <x:v>46156</x:v>
      </x:c>
      <x:c r="B1227" s="7" t="str">
        <x:v>US_ETF</x:v>
      </x:c>
      <x:c r="C1227" s="7" t="n">
        <x:v>89.1944010898</x:v>
      </x:c>
      <x:c r="D1227" s="7" t="n">
        <x:v>89.1944010898</x:v>
      </x:c>
      <x:c r="E1227" s="7" t="str">
        <x:v>SYNTHETIC: seeded teaching dataset; not observed market data</x:v>
      </x:c>
      <x:c r="F1227" s="7" t="n">
        <x:v>46266</x:v>
      </x:c>
    </x:row>
    <x:row r="1228" ht="22" customHeight="1">
      <x:c r="A1228" s="8" t="n">
        <x:v>46157</x:v>
      </x:c>
      <x:c r="B1228" s="7" t="str">
        <x:v>US_ETF</x:v>
      </x:c>
      <x:c r="C1228" s="7" t="n">
        <x:v>89.2528813395</x:v>
      </x:c>
      <x:c r="D1228" s="7" t="n">
        <x:v>89.2528813395</x:v>
      </x:c>
      <x:c r="E1228" s="7" t="str">
        <x:v>SYNTHETIC: seeded teaching dataset; not observed market data</x:v>
      </x:c>
      <x:c r="F1228" s="7" t="n">
        <x:v>46266</x:v>
      </x:c>
    </x:row>
    <x:row r="1229" ht="22" customHeight="1">
      <x:c r="A1229" s="8" t="n">
        <x:v>46160</x:v>
      </x:c>
      <x:c r="B1229" s="7" t="str">
        <x:v>US_ETF</x:v>
      </x:c>
      <x:c r="C1229" s="7" t="n">
        <x:v>89.2502755592</x:v>
      </x:c>
      <x:c r="D1229" s="7" t="n">
        <x:v>89.2502755592</x:v>
      </x:c>
      <x:c r="E1229" s="7" t="str">
        <x:v>SYNTHETIC: seeded teaching dataset; not observed market data</x:v>
      </x:c>
      <x:c r="F1229" s="7" t="n">
        <x:v>46266</x:v>
      </x:c>
    </x:row>
    <x:row r="1230" ht="22" customHeight="1">
      <x:c r="A1230" s="8" t="n">
        <x:v>46161</x:v>
      </x:c>
      <x:c r="B1230" s="7" t="str">
        <x:v>US_ETF</x:v>
      </x:c>
      <x:c r="C1230" s="7" t="n">
        <x:v>89.4722487612</x:v>
      </x:c>
      <x:c r="D1230" s="7" t="n">
        <x:v>89.4722487612</x:v>
      </x:c>
      <x:c r="E1230" s="7" t="str">
        <x:v>SYNTHETIC: seeded teaching dataset; not observed market data</x:v>
      </x:c>
      <x:c r="F1230" s="7" t="n">
        <x:v>46266</x:v>
      </x:c>
    </x:row>
    <x:row r="1231" ht="22" customHeight="1">
      <x:c r="A1231" s="8" t="n">
        <x:v>46162</x:v>
      </x:c>
      <x:c r="B1231" s="7" t="str">
        <x:v>US_ETF</x:v>
      </x:c>
      <x:c r="C1231" s="7" t="n">
        <x:v>90.1208034992</x:v>
      </x:c>
      <x:c r="D1231" s="7" t="n">
        <x:v>90.1208034992</x:v>
      </x:c>
      <x:c r="E1231" s="7" t="str">
        <x:v>SYNTHETIC: seeded teaching dataset; not observed market data</x:v>
      </x:c>
      <x:c r="F1231" s="7" t="n">
        <x:v>46266</x:v>
      </x:c>
    </x:row>
    <x:row r="1232" ht="22" customHeight="1">
      <x:c r="A1232" s="8" t="n">
        <x:v>46163</x:v>
      </x:c>
      <x:c r="B1232" s="7" t="str">
        <x:v>US_ETF</x:v>
      </x:c>
      <x:c r="C1232" s="7" t="n">
        <x:v>90.1416822315</x:v>
      </x:c>
      <x:c r="D1232" s="7" t="n">
        <x:v>90.1416822315</x:v>
      </x:c>
      <x:c r="E1232" s="7" t="str">
        <x:v>SYNTHETIC: seeded teaching dataset; not observed market data</x:v>
      </x:c>
      <x:c r="F1232" s="7" t="n">
        <x:v>46266</x:v>
      </x:c>
    </x:row>
    <x:row r="1233" ht="22" customHeight="1">
      <x:c r="A1233" s="8" t="n">
        <x:v>46164</x:v>
      </x:c>
      <x:c r="B1233" s="7" t="str">
        <x:v>US_ETF</x:v>
      </x:c>
      <x:c r="C1233" s="7" t="n">
        <x:v>89.9258305096</x:v>
      </x:c>
      <x:c r="D1233" s="7" t="n">
        <x:v>89.9258305096</x:v>
      </x:c>
      <x:c r="E1233" s="7" t="str">
        <x:v>SYNTHETIC: seeded teaching dataset; not observed market data</x:v>
      </x:c>
      <x:c r="F1233" s="7" t="n">
        <x:v>46266</x:v>
      </x:c>
    </x:row>
    <x:row r="1234" ht="22" customHeight="1">
      <x:c r="A1234" s="8" t="n">
        <x:v>46167</x:v>
      </x:c>
      <x:c r="B1234" s="7" t="str">
        <x:v>US_ETF</x:v>
      </x:c>
      <x:c r="C1234" s="7" t="n">
        <x:v>90.2501237813</x:v>
      </x:c>
      <x:c r="D1234" s="7" t="n">
        <x:v>90.2501237813</x:v>
      </x:c>
      <x:c r="E1234" s="7" t="str">
        <x:v>SYNTHETIC: seeded teaching dataset; not observed market data</x:v>
      </x:c>
      <x:c r="F1234" s="7" t="n">
        <x:v>46266</x:v>
      </x:c>
    </x:row>
    <x:row r="1235" ht="22" customHeight="1">
      <x:c r="A1235" s="8" t="n">
        <x:v>46168</x:v>
      </x:c>
      <x:c r="B1235" s="7" t="str">
        <x:v>US_ETF</x:v>
      </x:c>
      <x:c r="C1235" s="7" t="n">
        <x:v>90.3839860471</x:v>
      </x:c>
      <x:c r="D1235" s="7" t="n">
        <x:v>90.3839860471</x:v>
      </x:c>
      <x:c r="E1235" s="7" t="str">
        <x:v>SYNTHETIC: seeded teaching dataset; not observed market data</x:v>
      </x:c>
      <x:c r="F1235" s="7" t="n">
        <x:v>46266</x:v>
      </x:c>
    </x:row>
    <x:row r="1236" ht="22" customHeight="1">
      <x:c r="A1236" s="8" t="n">
        <x:v>46169</x:v>
      </x:c>
      <x:c r="B1236" s="7" t="str">
        <x:v>US_ETF</x:v>
      </x:c>
      <x:c r="C1236" s="7" t="n">
        <x:v>90.6043631995</x:v>
      </x:c>
      <x:c r="D1236" s="7" t="n">
        <x:v>90.6043631995</x:v>
      </x:c>
      <x:c r="E1236" s="7" t="str">
        <x:v>SYNTHETIC: seeded teaching dataset; not observed market data</x:v>
      </x:c>
      <x:c r="F1236" s="7" t="n">
        <x:v>46266</x:v>
      </x:c>
    </x:row>
    <x:row r="1237" ht="22" customHeight="1">
      <x:c r="A1237" s="8" t="n">
        <x:v>46170</x:v>
      </x:c>
      <x:c r="B1237" s="7" t="str">
        <x:v>US_ETF</x:v>
      </x:c>
      <x:c r="C1237" s="7" t="n">
        <x:v>91.1422822629</x:v>
      </x:c>
      <x:c r="D1237" s="7" t="n">
        <x:v>91.1422822629</x:v>
      </x:c>
      <x:c r="E1237" s="7" t="str">
        <x:v>SYNTHETIC: seeded teaching dataset; not observed market data</x:v>
      </x:c>
      <x:c r="F1237" s="7" t="n">
        <x:v>46266</x:v>
      </x:c>
    </x:row>
    <x:row r="1238" ht="22" customHeight="1">
      <x:c r="A1238" s="8" t="n">
        <x:v>46171</x:v>
      </x:c>
      <x:c r="B1238" s="7" t="str">
        <x:v>US_ETF</x:v>
      </x:c>
      <x:c r="C1238" s="7" t="n">
        <x:v>90.9126638577</x:v>
      </x:c>
      <x:c r="D1238" s="7" t="n">
        <x:v>90.9126638577</x:v>
      </x:c>
      <x:c r="E1238" s="7" t="str">
        <x:v>SYNTHETIC: seeded teaching dataset; not observed market data</x:v>
      </x:c>
      <x:c r="F1238" s="7" t="n">
        <x:v>46266</x:v>
      </x:c>
    </x:row>
    <x:row r="1239" ht="22" customHeight="1">
      <x:c r="A1239" s="8" t="n">
        <x:v>46174</x:v>
      </x:c>
      <x:c r="B1239" s="7" t="str">
        <x:v>US_ETF</x:v>
      </x:c>
      <x:c r="C1239" s="7" t="n">
        <x:v>90.5897565</x:v>
      </x:c>
      <x:c r="D1239" s="7" t="n">
        <x:v>90.5897565</x:v>
      </x:c>
      <x:c r="E1239" s="7" t="str">
        <x:v>SYNTHETIC: seeded teaching dataset; not observed market data</x:v>
      </x:c>
      <x:c r="F1239" s="7" t="n">
        <x:v>46266</x:v>
      </x:c>
    </x:row>
    <x:row r="1240" ht="22" customHeight="1">
      <x:c r="A1240" s="8" t="n">
        <x:v>46175</x:v>
      </x:c>
      <x:c r="B1240" s="7" t="str">
        <x:v>US_ETF</x:v>
      </x:c>
      <x:c r="C1240" s="7" t="n">
        <x:v>90.8552842098</x:v>
      </x:c>
      <x:c r="D1240" s="7" t="n">
        <x:v>90.8552842098</x:v>
      </x:c>
      <x:c r="E1240" s="7" t="str">
        <x:v>SYNTHETIC: seeded teaching dataset; not observed market data</x:v>
      </x:c>
      <x:c r="F1240" s="7" t="n">
        <x:v>46266</x:v>
      </x:c>
    </x:row>
    <x:row r="1241" ht="22" customHeight="1">
      <x:c r="A1241" s="8" t="n">
        <x:v>46176</x:v>
      </x:c>
      <x:c r="B1241" s="7" t="str">
        <x:v>US_ETF</x:v>
      </x:c>
      <x:c r="C1241" s="7" t="n">
        <x:v>90.657127557</x:v>
      </x:c>
      <x:c r="D1241" s="7" t="n">
        <x:v>90.657127557</x:v>
      </x:c>
      <x:c r="E1241" s="7" t="str">
        <x:v>SYNTHETIC: seeded teaching dataset; not observed market data</x:v>
      </x:c>
      <x:c r="F1241" s="7" t="n">
        <x:v>46266</x:v>
      </x:c>
    </x:row>
    <x:row r="1242" ht="22" customHeight="1">
      <x:c r="A1242" s="8" t="n">
        <x:v>46177</x:v>
      </x:c>
      <x:c r="B1242" s="7" t="str">
        <x:v>US_ETF</x:v>
      </x:c>
      <x:c r="C1242" s="7" t="n">
        <x:v>90.6737441329</x:v>
      </x:c>
      <x:c r="D1242" s="7" t="n">
        <x:v>90.6737441329</x:v>
      </x:c>
      <x:c r="E1242" s="7" t="str">
        <x:v>SYNTHETIC: seeded teaching dataset; not observed market data</x:v>
      </x:c>
      <x:c r="F1242" s="7" t="n">
        <x:v>46266</x:v>
      </x:c>
    </x:row>
    <x:row r="1243" ht="22" customHeight="1">
      <x:c r="A1243" s="8" t="n">
        <x:v>46178</x:v>
      </x:c>
      <x:c r="B1243" s="7" t="str">
        <x:v>US_ETF</x:v>
      </x:c>
      <x:c r="C1243" s="7" t="n">
        <x:v>90.5031688023</x:v>
      </x:c>
      <x:c r="D1243" s="7" t="n">
        <x:v>90.5031688023</x:v>
      </x:c>
      <x:c r="E1243" s="7" t="str">
        <x:v>SYNTHETIC: seeded teaching dataset; not observed market data</x:v>
      </x:c>
      <x:c r="F1243" s="7" t="n">
        <x:v>46266</x:v>
      </x:c>
    </x:row>
    <x:row r="1244" ht="22" customHeight="1">
      <x:c r="A1244" s="8" t="n">
        <x:v>46181</x:v>
      </x:c>
      <x:c r="B1244" s="7" t="str">
        <x:v>US_ETF</x:v>
      </x:c>
      <x:c r="C1244" s="7" t="n">
        <x:v>90.9549096225</x:v>
      </x:c>
      <x:c r="D1244" s="7" t="n">
        <x:v>90.9549096225</x:v>
      </x:c>
      <x:c r="E1244" s="7" t="str">
        <x:v>SYNTHETIC: seeded teaching dataset; not observed market data</x:v>
      </x:c>
      <x:c r="F1244" s="7" t="n">
        <x:v>46266</x:v>
      </x:c>
    </x:row>
    <x:row r="1245" ht="22" customHeight="1">
      <x:c r="A1245" s="8" t="n">
        <x:v>46182</x:v>
      </x:c>
      <x:c r="B1245" s="7" t="str">
        <x:v>US_ETF</x:v>
      </x:c>
      <x:c r="C1245" s="7" t="n">
        <x:v>90.4842672308</x:v>
      </x:c>
      <x:c r="D1245" s="7" t="n">
        <x:v>90.4842672308</x:v>
      </x:c>
      <x:c r="E1245" s="7" t="str">
        <x:v>SYNTHETIC: seeded teaching dataset; not observed market data</x:v>
      </x:c>
      <x:c r="F1245" s="7" t="n">
        <x:v>46266</x:v>
      </x:c>
    </x:row>
    <x:row r="1246" ht="22" customHeight="1">
      <x:c r="A1246" s="8" t="n">
        <x:v>46183</x:v>
      </x:c>
      <x:c r="B1246" s="7" t="str">
        <x:v>US_ETF</x:v>
      </x:c>
      <x:c r="C1246" s="7" t="n">
        <x:v>91.0634830372</x:v>
      </x:c>
      <x:c r="D1246" s="7" t="n">
        <x:v>91.0634830372</x:v>
      </x:c>
      <x:c r="E1246" s="7" t="str">
        <x:v>SYNTHETIC: seeded teaching dataset; not observed market data</x:v>
      </x:c>
      <x:c r="F1246" s="7" t="n">
        <x:v>46266</x:v>
      </x:c>
    </x:row>
    <x:row r="1247" ht="22" customHeight="1">
      <x:c r="A1247" s="8" t="n">
        <x:v>46184</x:v>
      </x:c>
      <x:c r="B1247" s="7" t="str">
        <x:v>US_ETF</x:v>
      </x:c>
      <x:c r="C1247" s="7" t="n">
        <x:v>90.8268458813</x:v>
      </x:c>
      <x:c r="D1247" s="7" t="n">
        <x:v>90.8268458813</x:v>
      </x:c>
      <x:c r="E1247" s="7" t="str">
        <x:v>SYNTHETIC: seeded teaching dataset; not observed market data</x:v>
      </x:c>
      <x:c r="F1247" s="7" t="n">
        <x:v>46266</x:v>
      </x:c>
    </x:row>
    <x:row r="1248" ht="22" customHeight="1">
      <x:c r="A1248" s="8" t="n">
        <x:v>46185</x:v>
      </x:c>
      <x:c r="B1248" s="7" t="str">
        <x:v>US_ETF</x:v>
      </x:c>
      <x:c r="C1248" s="7" t="n">
        <x:v>90.8172146166</x:v>
      </x:c>
      <x:c r="D1248" s="7" t="n">
        <x:v>90.8172146166</x:v>
      </x:c>
      <x:c r="E1248" s="7" t="str">
        <x:v>SYNTHETIC: seeded teaching dataset; not observed market data</x:v>
      </x:c>
      <x:c r="F1248" s="7" t="n">
        <x:v>46266</x:v>
      </x:c>
    </x:row>
    <x:row r="1249" ht="22" customHeight="1">
      <x:c r="A1249" s="8" t="n">
        <x:v>46188</x:v>
      </x:c>
      <x:c r="B1249" s="7" t="str">
        <x:v>US_ETF</x:v>
      </x:c>
      <x:c r="C1249" s="7" t="n">
        <x:v>90.9324379775</x:v>
      </x:c>
      <x:c r="D1249" s="7" t="n">
        <x:v>90.9324379775</x:v>
      </x:c>
      <x:c r="E1249" s="7" t="str">
        <x:v>SYNTHETIC: seeded teaching dataset; not observed market data</x:v>
      </x:c>
      <x:c r="F1249" s="7" t="n">
        <x:v>46266</x:v>
      </x:c>
    </x:row>
    <x:row r="1250" ht="22" customHeight="1">
      <x:c r="A1250" s="8" t="n">
        <x:v>46189</x:v>
      </x:c>
      <x:c r="B1250" s="7" t="str">
        <x:v>US_ETF</x:v>
      </x:c>
      <x:c r="C1250" s="7" t="n">
        <x:v>91.5139842604</x:v>
      </x:c>
      <x:c r="D1250" s="7" t="n">
        <x:v>91.5139842604</x:v>
      </x:c>
      <x:c r="E1250" s="7" t="str">
        <x:v>SYNTHETIC: seeded teaching dataset; not observed market data</x:v>
      </x:c>
      <x:c r="F1250" s="7" t="n">
        <x:v>46266</x:v>
      </x:c>
    </x:row>
    <x:row r="1251" ht="22" customHeight="1">
      <x:c r="A1251" s="8" t="n">
        <x:v>46190</x:v>
      </x:c>
      <x:c r="B1251" s="7" t="str">
        <x:v>US_ETF</x:v>
      </x:c>
      <x:c r="C1251" s="7" t="n">
        <x:v>91.4587347853</x:v>
      </x:c>
      <x:c r="D1251" s="7" t="n">
        <x:v>91.4587347853</x:v>
      </x:c>
      <x:c r="E1251" s="7" t="str">
        <x:v>SYNTHETIC: seeded teaching dataset; not observed market data</x:v>
      </x:c>
      <x:c r="F1251" s="7" t="n">
        <x:v>46266</x:v>
      </x:c>
    </x:row>
    <x:row r="1252" ht="22" customHeight="1">
      <x:c r="A1252" s="8" t="n">
        <x:v>46191</x:v>
      </x:c>
      <x:c r="B1252" s="7" t="str">
        <x:v>US_ETF</x:v>
      </x:c>
      <x:c r="C1252" s="7" t="n">
        <x:v>92.2555927975</x:v>
      </x:c>
      <x:c r="D1252" s="7" t="n">
        <x:v>92.2555927975</x:v>
      </x:c>
      <x:c r="E1252" s="7" t="str">
        <x:v>SYNTHETIC: seeded teaching dataset; not observed market data</x:v>
      </x:c>
      <x:c r="F1252" s="7" t="n">
        <x:v>46266</x:v>
      </x:c>
    </x:row>
    <x:row r="1253" ht="22" customHeight="1">
      <x:c r="A1253" s="8" t="n">
        <x:v>46192</x:v>
      </x:c>
      <x:c r="B1253" s="7" t="str">
        <x:v>US_ETF</x:v>
      </x:c>
      <x:c r="C1253" s="7" t="n">
        <x:v>92.161387603</x:v>
      </x:c>
      <x:c r="D1253" s="7" t="n">
        <x:v>92.161387603</x:v>
      </x:c>
      <x:c r="E1253" s="7" t="str">
        <x:v>SYNTHETIC: seeded teaching dataset; not observed market data</x:v>
      </x:c>
      <x:c r="F1253" s="7" t="n">
        <x:v>46266</x:v>
      </x:c>
    </x:row>
    <x:row r="1254" ht="22" customHeight="1">
      <x:c r="A1254" s="8" t="n">
        <x:v>46195</x:v>
      </x:c>
      <x:c r="B1254" s="7" t="str">
        <x:v>US_ETF</x:v>
      </x:c>
      <x:c r="C1254" s="7" t="n">
        <x:v>91.7034271606</x:v>
      </x:c>
      <x:c r="D1254" s="7" t="n">
        <x:v>91.7034271606</x:v>
      </x:c>
      <x:c r="E1254" s="7" t="str">
        <x:v>SYNTHETIC: seeded teaching dataset; not observed market data</x:v>
      </x:c>
      <x:c r="F1254" s="7" t="n">
        <x:v>46266</x:v>
      </x:c>
    </x:row>
    <x:row r="1255" ht="22" customHeight="1">
      <x:c r="A1255" s="8" t="n">
        <x:v>46196</x:v>
      </x:c>
      <x:c r="B1255" s="7" t="str">
        <x:v>US_ETF</x:v>
      </x:c>
      <x:c r="C1255" s="7" t="n">
        <x:v>91.2647611402</x:v>
      </x:c>
      <x:c r="D1255" s="7" t="n">
        <x:v>91.2647611402</x:v>
      </x:c>
      <x:c r="E1255" s="7" t="str">
        <x:v>SYNTHETIC: seeded teaching dataset; not observed market data</x:v>
      </x:c>
      <x:c r="F1255" s="7" t="n">
        <x:v>46266</x:v>
      </x:c>
    </x:row>
    <x:row r="1256" ht="22" customHeight="1">
      <x:c r="A1256" s="8" t="n">
        <x:v>46197</x:v>
      </x:c>
      <x:c r="B1256" s="7" t="str">
        <x:v>US_ETF</x:v>
      </x:c>
      <x:c r="C1256" s="7" t="n">
        <x:v>92.0121187039</x:v>
      </x:c>
      <x:c r="D1256" s="7" t="n">
        <x:v>92.0121187039</x:v>
      </x:c>
      <x:c r="E1256" s="7" t="str">
        <x:v>SYNTHETIC: seeded teaching dataset; not observed market data</x:v>
      </x:c>
      <x:c r="F1256" s="7" t="n">
        <x:v>46266</x:v>
      </x:c>
    </x:row>
    <x:row r="1257" ht="22" customHeight="1">
      <x:c r="A1257" s="8" t="n">
        <x:v>46198</x:v>
      </x:c>
      <x:c r="B1257" s="7" t="str">
        <x:v>US_ETF</x:v>
      </x:c>
      <x:c r="C1257" s="7" t="n">
        <x:v>91.6702605897</x:v>
      </x:c>
      <x:c r="D1257" s="7" t="n">
        <x:v>91.6702605897</x:v>
      </x:c>
      <x:c r="E1257" s="7" t="str">
        <x:v>SYNTHETIC: seeded teaching dataset; not observed market data</x:v>
      </x:c>
      <x:c r="F1257" s="7" t="n">
        <x:v>46266</x:v>
      </x:c>
    </x:row>
    <x:row r="1258" ht="22" customHeight="1">
      <x:c r="A1258" s="8" t="n">
        <x:v>46199</x:v>
      </x:c>
      <x:c r="B1258" s="7" t="str">
        <x:v>US_ETF</x:v>
      </x:c>
      <x:c r="C1258" s="7" t="n">
        <x:v>91.3805069284</x:v>
      </x:c>
      <x:c r="D1258" s="7" t="n">
        <x:v>91.3805069284</x:v>
      </x:c>
      <x:c r="E1258" s="7" t="str">
        <x:v>SYNTHETIC: seeded teaching dataset; not observed market data</x:v>
      </x:c>
      <x:c r="F1258" s="7" t="n">
        <x:v>46266</x:v>
      </x:c>
    </x:row>
    <x:row r="1259" ht="22" customHeight="1">
      <x:c r="A1259" s="8" t="n">
        <x:v>46202</x:v>
      </x:c>
      <x:c r="B1259" s="7" t="str">
        <x:v>US_ETF</x:v>
      </x:c>
      <x:c r="C1259" s="7" t="n">
        <x:v>90.9629090651</x:v>
      </x:c>
      <x:c r="D1259" s="7" t="n">
        <x:v>90.9629090651</x:v>
      </x:c>
      <x:c r="E1259" s="7" t="str">
        <x:v>SYNTHETIC: seeded teaching dataset; not observed market data</x:v>
      </x:c>
      <x:c r="F1259" s="7" t="n">
        <x:v>46266</x:v>
      </x:c>
    </x:row>
    <x:row r="1260" ht="22" customHeight="1">
      <x:c r="A1260" s="8" t="n">
        <x:v>46203</x:v>
      </x:c>
      <x:c r="B1260" s="7" t="str">
        <x:v>US_ETF</x:v>
      </x:c>
      <x:c r="C1260" s="7" t="n">
        <x:v>92.4472241614</x:v>
      </x:c>
      <x:c r="D1260" s="7" t="n">
        <x:v>92.4472241614</x:v>
      </x:c>
      <x:c r="E1260" s="7" t="str">
        <x:v>SYNTHETIC: seeded teaching dataset; not observed market data</x:v>
      </x:c>
      <x:c r="F1260" s="7" t="n">
        <x:v>46266</x:v>
      </x:c>
    </x:row>
    <x:row r="1261" ht="22" customHeight="1">
      <x:c r="A1261" s="8" t="n">
        <x:v>46204</x:v>
      </x:c>
      <x:c r="B1261" s="7" t="str">
        <x:v>US_ETF</x:v>
      </x:c>
      <x:c r="C1261" s="7" t="n">
        <x:v>92.157303414</x:v>
      </x:c>
      <x:c r="D1261" s="7" t="n">
        <x:v>92.157303414</x:v>
      </x:c>
      <x:c r="E1261" s="7" t="str">
        <x:v>SYNTHETIC: seeded teaching dataset; not observed market data</x:v>
      </x:c>
      <x:c r="F1261" s="7" t="n">
        <x:v>46266</x:v>
      </x:c>
    </x:row>
    <x:row r="1262" ht="22" customHeight="1">
      <x:c r="A1262" s="8" t="n">
        <x:v>46205</x:v>
      </x:c>
      <x:c r="B1262" s="7" t="str">
        <x:v>US_ETF</x:v>
      </x:c>
      <x:c r="C1262" s="7" t="n">
        <x:v>92.2775769401</x:v>
      </x:c>
      <x:c r="D1262" s="7" t="n">
        <x:v>92.2775769401</x:v>
      </x:c>
      <x:c r="E1262" s="7" t="str">
        <x:v>SYNTHETIC: seeded teaching dataset; not observed market data</x:v>
      </x:c>
      <x:c r="F1262" s="7" t="n">
        <x:v>46266</x:v>
      </x:c>
    </x:row>
    <x:row r="1263" ht="22" customHeight="1">
      <x:c r="A1263" s="8" t="n">
        <x:v>46206</x:v>
      </x:c>
      <x:c r="B1263" s="7" t="str">
        <x:v>US_ETF</x:v>
      </x:c>
      <x:c r="C1263" s="7" t="n">
        <x:v>92.6694350657</x:v>
      </x:c>
      <x:c r="D1263" s="7" t="n">
        <x:v>92.6694350657</x:v>
      </x:c>
      <x:c r="E1263" s="7" t="str">
        <x:v>SYNTHETIC: seeded teaching dataset; not observed market data</x:v>
      </x:c>
      <x:c r="F1263" s="7" t="n">
        <x:v>46266</x:v>
      </x:c>
    </x:row>
    <x:row r="1264" ht="22" customHeight="1">
      <x:c r="A1264" s="8" t="n">
        <x:v>46209</x:v>
      </x:c>
      <x:c r="B1264" s="7" t="str">
        <x:v>US_ETF</x:v>
      </x:c>
      <x:c r="C1264" s="7" t="n">
        <x:v>92.4924765968</x:v>
      </x:c>
      <x:c r="D1264" s="7" t="n">
        <x:v>92.4924765968</x:v>
      </x:c>
      <x:c r="E1264" s="7" t="str">
        <x:v>SYNTHETIC: seeded teaching dataset; not observed market data</x:v>
      </x:c>
      <x:c r="F1264" s="7" t="n">
        <x:v>46266</x:v>
      </x:c>
    </x:row>
    <x:row r="1265" ht="22" customHeight="1">
      <x:c r="A1265" s="8" t="n">
        <x:v>46210</x:v>
      </x:c>
      <x:c r="B1265" s="7" t="str">
        <x:v>US_ETF</x:v>
      </x:c>
      <x:c r="C1265" s="7" t="n">
        <x:v>93.0419040936</x:v>
      </x:c>
      <x:c r="D1265" s="7" t="n">
        <x:v>93.0419040936</x:v>
      </x:c>
      <x:c r="E1265" s="7" t="str">
        <x:v>SYNTHETIC: seeded teaching dataset; not observed market data</x:v>
      </x:c>
      <x:c r="F1265" s="7" t="n">
        <x:v>46266</x:v>
      </x:c>
    </x:row>
    <x:row r="1266" ht="22" customHeight="1">
      <x:c r="A1266" s="8" t="n">
        <x:v>46211</x:v>
      </x:c>
      <x:c r="B1266" s="7" t="str">
        <x:v>US_ETF</x:v>
      </x:c>
      <x:c r="C1266" s="7" t="n">
        <x:v>93.0748606248</x:v>
      </x:c>
      <x:c r="D1266" s="7" t="n">
        <x:v>93.0748606248</x:v>
      </x:c>
      <x:c r="E1266" s="7" t="str">
        <x:v>SYNTHETIC: seeded teaching dataset; not observed market data</x:v>
      </x:c>
      <x:c r="F1266" s="7" t="n">
        <x:v>46266</x:v>
      </x:c>
    </x:row>
    <x:row r="1267" ht="22" customHeight="1">
      <x:c r="A1267" s="8" t="n">
        <x:v>46212</x:v>
      </x:c>
      <x:c r="B1267" s="7" t="str">
        <x:v>US_ETF</x:v>
      </x:c>
      <x:c r="C1267" s="7" t="n">
        <x:v>93.2546097627</x:v>
      </x:c>
      <x:c r="D1267" s="7" t="n">
        <x:v>93.2546097627</x:v>
      </x:c>
      <x:c r="E1267" s="7" t="str">
        <x:v>SYNTHETIC: seeded teaching dataset; not observed market data</x:v>
      </x:c>
      <x:c r="F1267" s="7" t="n">
        <x:v>46266</x:v>
      </x:c>
    </x:row>
    <x:row r="1268" ht="22" customHeight="1">
      <x:c r="A1268" s="8" t="n">
        <x:v>46213</x:v>
      </x:c>
      <x:c r="B1268" s="7" t="str">
        <x:v>US_ETF</x:v>
      </x:c>
      <x:c r="C1268" s="7" t="n">
        <x:v>92.7976104161</x:v>
      </x:c>
      <x:c r="D1268" s="7" t="n">
        <x:v>92.7976104161</x:v>
      </x:c>
      <x:c r="E1268" s="7" t="str">
        <x:v>SYNTHETIC: seeded teaching dataset; not observed market data</x:v>
      </x:c>
      <x:c r="F1268" s="7" t="n">
        <x:v>46266</x:v>
      </x:c>
    </x:row>
    <x:row r="1269" ht="22" customHeight="1">
      <x:c r="A1269" s="8" t="n">
        <x:v>46216</x:v>
      </x:c>
      <x:c r="B1269" s="7" t="str">
        <x:v>US_ETF</x:v>
      </x:c>
      <x:c r="C1269" s="7" t="n">
        <x:v>93.1611805631</x:v>
      </x:c>
      <x:c r="D1269" s="7" t="n">
        <x:v>93.1611805631</x:v>
      </x:c>
      <x:c r="E1269" s="7" t="str">
        <x:v>SYNTHETIC: seeded teaching dataset; not observed market data</x:v>
      </x:c>
      <x:c r="F1269" s="7" t="n">
        <x:v>46266</x:v>
      </x:c>
    </x:row>
    <x:row r="1270" ht="22" customHeight="1">
      <x:c r="A1270" s="8" t="n">
        <x:v>46217</x:v>
      </x:c>
      <x:c r="B1270" s="7" t="str">
        <x:v>US_ETF</x:v>
      </x:c>
      <x:c r="C1270" s="7" t="n">
        <x:v>93.5254374784</x:v>
      </x:c>
      <x:c r="D1270" s="7" t="n">
        <x:v>93.5254374784</x:v>
      </x:c>
      <x:c r="E1270" s="7" t="str">
        <x:v>SYNTHETIC: seeded teaching dataset; not observed market data</x:v>
      </x:c>
      <x:c r="F1270" s="7" t="n">
        <x:v>46266</x:v>
      </x:c>
    </x:row>
    <x:row r="1271" ht="22" customHeight="1">
      <x:c r="A1271" s="8" t="n">
        <x:v>46218</x:v>
      </x:c>
      <x:c r="B1271" s="7" t="str">
        <x:v>US_ETF</x:v>
      </x:c>
      <x:c r="C1271" s="7" t="n">
        <x:v>93.2977920465</x:v>
      </x:c>
      <x:c r="D1271" s="7" t="n">
        <x:v>93.2977920465</x:v>
      </x:c>
      <x:c r="E1271" s="7" t="str">
        <x:v>SYNTHETIC: seeded teaching dataset; not observed market data</x:v>
      </x:c>
      <x:c r="F1271" s="7" t="n">
        <x:v>46266</x:v>
      </x:c>
    </x:row>
    <x:row r="1272" ht="22" customHeight="1">
      <x:c r="A1272" s="8" t="n">
        <x:v>46219</x:v>
      </x:c>
      <x:c r="B1272" s="7" t="str">
        <x:v>US_ETF</x:v>
      </x:c>
      <x:c r="C1272" s="7" t="n">
        <x:v>93.8862693988</x:v>
      </x:c>
      <x:c r="D1272" s="7" t="n">
        <x:v>93.8862693988</x:v>
      </x:c>
      <x:c r="E1272" s="7" t="str">
        <x:v>SYNTHETIC: seeded teaching dataset; not observed market data</x:v>
      </x:c>
      <x:c r="F1272" s="7" t="n">
        <x:v>46266</x:v>
      </x:c>
    </x:row>
    <x:row r="1273" ht="22" customHeight="1">
      <x:c r="A1273" s="8" t="n">
        <x:v>46220</x:v>
      </x:c>
      <x:c r="B1273" s="7" t="str">
        <x:v>US_ETF</x:v>
      </x:c>
      <x:c r="C1273" s="7" t="n">
        <x:v>94.1040584697</x:v>
      </x:c>
      <x:c r="D1273" s="7" t="n">
        <x:v>94.1040584697</x:v>
      </x:c>
      <x:c r="E1273" s="7" t="str">
        <x:v>SYNTHETIC: seeded teaching dataset; not observed market data</x:v>
      </x:c>
      <x:c r="F1273" s="7" t="n">
        <x:v>46266</x:v>
      </x:c>
    </x:row>
    <x:row r="1274" ht="22" customHeight="1">
      <x:c r="A1274" s="8" t="n">
        <x:v>46223</x:v>
      </x:c>
      <x:c r="B1274" s="7" t="str">
        <x:v>US_ETF</x:v>
      </x:c>
      <x:c r="C1274" s="7" t="n">
        <x:v>94.0915752539</x:v>
      </x:c>
      <x:c r="D1274" s="7" t="n">
        <x:v>94.0915752539</x:v>
      </x:c>
      <x:c r="E1274" s="7" t="str">
        <x:v>SYNTHETIC: seeded teaching dataset; not observed market data</x:v>
      </x:c>
      <x:c r="F1274" s="7" t="n">
        <x:v>46266</x:v>
      </x:c>
    </x:row>
    <x:row r="1275" ht="22" customHeight="1">
      <x:c r="A1275" s="8" t="n">
        <x:v>46224</x:v>
      </x:c>
      <x:c r="B1275" s="7" t="str">
        <x:v>US_ETF</x:v>
      </x:c>
      <x:c r="C1275" s="7" t="n">
        <x:v>94.133932577</x:v>
      </x:c>
      <x:c r="D1275" s="7" t="n">
        <x:v>94.133932577</x:v>
      </x:c>
      <x:c r="E1275" s="7" t="str">
        <x:v>SYNTHETIC: seeded teaching dataset; not observed market data</x:v>
      </x:c>
      <x:c r="F1275" s="7" t="n">
        <x:v>46266</x:v>
      </x:c>
    </x:row>
    <x:row r="1276" ht="22" customHeight="1">
      <x:c r="A1276" s="8" t="n">
        <x:v>46225</x:v>
      </x:c>
      <x:c r="B1276" s="7" t="str">
        <x:v>US_ETF</x:v>
      </x:c>
      <x:c r="C1276" s="7" t="n">
        <x:v>93.5981720985</x:v>
      </x:c>
      <x:c r="D1276" s="7" t="n">
        <x:v>93.5981720985</x:v>
      </x:c>
      <x:c r="E1276" s="7" t="str">
        <x:v>SYNTHETIC: seeded teaching dataset; not observed market data</x:v>
      </x:c>
      <x:c r="F1276" s="7" t="n">
        <x:v>46266</x:v>
      </x:c>
    </x:row>
    <x:row r="1277" ht="22" customHeight="1">
      <x:c r="A1277" s="8" t="n">
        <x:v>46226</x:v>
      </x:c>
      <x:c r="B1277" s="7" t="str">
        <x:v>US_ETF</x:v>
      </x:c>
      <x:c r="C1277" s="7" t="n">
        <x:v>93.243974375</x:v>
      </x:c>
      <x:c r="D1277" s="7" t="n">
        <x:v>93.243974375</x:v>
      </x:c>
      <x:c r="E1277" s="7" t="str">
        <x:v>SYNTHETIC: seeded teaching dataset; not observed market data</x:v>
      </x:c>
      <x:c r="F1277" s="7" t="n">
        <x:v>46266</x:v>
      </x:c>
    </x:row>
    <x:row r="1278" ht="22" customHeight="1">
      <x:c r="A1278" s="8" t="n">
        <x:v>46227</x:v>
      </x:c>
      <x:c r="B1278" s="7" t="str">
        <x:v>US_ETF</x:v>
      </x:c>
      <x:c r="C1278" s="7" t="n">
        <x:v>93.1646753312</x:v>
      </x:c>
      <x:c r="D1278" s="7" t="n">
        <x:v>93.1646753312</x:v>
      </x:c>
      <x:c r="E1278" s="7" t="str">
        <x:v>SYNTHETIC: seeded teaching dataset; not observed market data</x:v>
      </x:c>
      <x:c r="F1278" s="7" t="n">
        <x:v>46266</x:v>
      </x:c>
    </x:row>
    <x:row r="1279" ht="22" customHeight="1">
      <x:c r="A1279" s="8" t="n">
        <x:v>46230</x:v>
      </x:c>
      <x:c r="B1279" s="7" t="str">
        <x:v>US_ETF</x:v>
      </x:c>
      <x:c r="C1279" s="7" t="n">
        <x:v>92.9700520527</x:v>
      </x:c>
      <x:c r="D1279" s="7" t="n">
        <x:v>92.9700520527</x:v>
      </x:c>
      <x:c r="E1279" s="7" t="str">
        <x:v>SYNTHETIC: seeded teaching dataset; not observed market data</x:v>
      </x:c>
      <x:c r="F1279" s="7" t="n">
        <x:v>46266</x:v>
      </x:c>
    </x:row>
    <x:row r="1280" ht="22" customHeight="1">
      <x:c r="A1280" s="8" t="n">
        <x:v>46231</x:v>
      </x:c>
      <x:c r="B1280" s="7" t="str">
        <x:v>US_ETF</x:v>
      </x:c>
      <x:c r="C1280" s="7" t="n">
        <x:v>92.7932112973</x:v>
      </x:c>
      <x:c r="D1280" s="7" t="n">
        <x:v>92.7932112973</x:v>
      </x:c>
      <x:c r="E1280" s="7" t="str">
        <x:v>SYNTHETIC: seeded teaching dataset; not observed market data</x:v>
      </x:c>
      <x:c r="F1280" s="7" t="n">
        <x:v>46266</x:v>
      </x:c>
    </x:row>
    <x:row r="1281" ht="22" customHeight="1">
      <x:c r="A1281" s="8" t="n">
        <x:v>46232</x:v>
      </x:c>
      <x:c r="B1281" s="7" t="str">
        <x:v>US_ETF</x:v>
      </x:c>
      <x:c r="C1281" s="7" t="n">
        <x:v>93.0366824367</x:v>
      </x:c>
      <x:c r="D1281" s="7" t="n">
        <x:v>93.0366824367</x:v>
      </x:c>
      <x:c r="E1281" s="7" t="str">
        <x:v>SYNTHETIC: seeded teaching dataset; not observed market data</x:v>
      </x:c>
      <x:c r="F1281" s="7" t="n">
        <x:v>46266</x:v>
      </x:c>
    </x:row>
    <x:row r="1282" ht="22" customHeight="1">
      <x:c r="A1282" s="8" t="n">
        <x:v>46233</x:v>
      </x:c>
      <x:c r="B1282" s="7" t="str">
        <x:v>US_ETF</x:v>
      </x:c>
      <x:c r="C1282" s="7" t="n">
        <x:v>93.7959255809</x:v>
      </x:c>
      <x:c r="D1282" s="7" t="n">
        <x:v>93.7959255809</x:v>
      </x:c>
      <x:c r="E1282" s="7" t="str">
        <x:v>SYNTHETIC: seeded teaching dataset; not observed market data</x:v>
      </x:c>
      <x:c r="F1282" s="7" t="n">
        <x:v>46266</x:v>
      </x:c>
    </x:row>
    <x:row r="1283" ht="22" customHeight="1">
      <x:c r="A1283" s="8" t="n">
        <x:v>46234</x:v>
      </x:c>
      <x:c r="B1283" s="7" t="str">
        <x:v>US_ETF</x:v>
      </x:c>
      <x:c r="C1283" s="7" t="n">
        <x:v>93.224971277</x:v>
      </x:c>
      <x:c r="D1283" s="7" t="n">
        <x:v>93.224971277</x:v>
      </x:c>
      <x:c r="E1283" s="7" t="str">
        <x:v>SYNTHETIC: seeded teaching dataset; not observed market data</x:v>
      </x:c>
      <x:c r="F1283" s="7" t="n">
        <x:v>46266</x:v>
      </x:c>
    </x:row>
    <x:row r="1284" ht="22" customHeight="1">
      <x:c r="A1284" s="8" t="n">
        <x:v>46237</x:v>
      </x:c>
      <x:c r="B1284" s="7" t="str">
        <x:v>US_ETF</x:v>
      </x:c>
      <x:c r="C1284" s="7" t="n">
        <x:v>93.2950824458</x:v>
      </x:c>
      <x:c r="D1284" s="7" t="n">
        <x:v>93.2950824458</x:v>
      </x:c>
      <x:c r="E1284" s="7" t="str">
        <x:v>SYNTHETIC: seeded teaching dataset; not observed market data</x:v>
      </x:c>
      <x:c r="F1284" s="7" t="n">
        <x:v>46266</x:v>
      </x:c>
    </x:row>
    <x:row r="1285" ht="22" customHeight="1">
      <x:c r="A1285" s="8" t="n">
        <x:v>46238</x:v>
      </x:c>
      <x:c r="B1285" s="7" t="str">
        <x:v>US_ETF</x:v>
      </x:c>
      <x:c r="C1285" s="7" t="n">
        <x:v>93.6550416837</x:v>
      </x:c>
      <x:c r="D1285" s="7" t="n">
        <x:v>93.6550416837</x:v>
      </x:c>
      <x:c r="E1285" s="7" t="str">
        <x:v>SYNTHETIC: seeded teaching dataset; not observed market data</x:v>
      </x:c>
      <x:c r="F1285" s="7" t="n">
        <x:v>46266</x:v>
      </x:c>
    </x:row>
    <x:row r="1286" ht="22" customHeight="1">
      <x:c r="A1286" s="8" t="n">
        <x:v>46239</x:v>
      </x:c>
      <x:c r="B1286" s="7" t="str">
        <x:v>US_ETF</x:v>
      </x:c>
      <x:c r="C1286" s="7" t="n">
        <x:v>93.6804032569</x:v>
      </x:c>
      <x:c r="D1286" s="7" t="n">
        <x:v>93.6804032569</x:v>
      </x:c>
      <x:c r="E1286" s="7" t="str">
        <x:v>SYNTHETIC: seeded teaching dataset; not observed market data</x:v>
      </x:c>
      <x:c r="F1286" s="7" t="n">
        <x:v>46266</x:v>
      </x:c>
    </x:row>
    <x:row r="1287" ht="22" customHeight="1">
      <x:c r="A1287" s="8" t="n">
        <x:v>46240</x:v>
      </x:c>
      <x:c r="B1287" s="7" t="str">
        <x:v>US_ETF</x:v>
      </x:c>
      <x:c r="C1287" s="7" t="n">
        <x:v>93.2441465366</x:v>
      </x:c>
      <x:c r="D1287" s="7" t="n">
        <x:v>93.2441465366</x:v>
      </x:c>
      <x:c r="E1287" s="7" t="str">
        <x:v>SYNTHETIC: seeded teaching dataset; not observed market data</x:v>
      </x:c>
      <x:c r="F1287" s="7" t="n">
        <x:v>46266</x:v>
      </x:c>
    </x:row>
    <x:row r="1288" ht="22" customHeight="1">
      <x:c r="A1288" s="8" t="n">
        <x:v>46241</x:v>
      </x:c>
      <x:c r="B1288" s="7" t="str">
        <x:v>US_ETF</x:v>
      </x:c>
      <x:c r="C1288" s="7" t="n">
        <x:v>93.0743940749</x:v>
      </x:c>
      <x:c r="D1288" s="7" t="n">
        <x:v>93.0743940749</x:v>
      </x:c>
      <x:c r="E1288" s="7" t="str">
        <x:v>SYNTHETIC: seeded teaching dataset; not observed market data</x:v>
      </x:c>
      <x:c r="F1288" s="7" t="n">
        <x:v>46266</x:v>
      </x:c>
    </x:row>
    <x:row r="1289" ht="22" customHeight="1">
      <x:c r="A1289" s="8" t="n">
        <x:v>46244</x:v>
      </x:c>
      <x:c r="B1289" s="7" t="str">
        <x:v>US_ETF</x:v>
      </x:c>
      <x:c r="C1289" s="7" t="n">
        <x:v>93.6896526672</x:v>
      </x:c>
      <x:c r="D1289" s="7" t="n">
        <x:v>93.6896526672</x:v>
      </x:c>
      <x:c r="E1289" s="7" t="str">
        <x:v>SYNTHETIC: seeded teaching dataset; not observed market data</x:v>
      </x:c>
      <x:c r="F1289" s="7" t="n">
        <x:v>46266</x:v>
      </x:c>
    </x:row>
    <x:row r="1290" ht="22" customHeight="1">
      <x:c r="A1290" s="8" t="n">
        <x:v>46245</x:v>
      </x:c>
      <x:c r="B1290" s="7" t="str">
        <x:v>US_ETF</x:v>
      </x:c>
      <x:c r="C1290" s="7" t="n">
        <x:v>93.7318807768</x:v>
      </x:c>
      <x:c r="D1290" s="7" t="n">
        <x:v>93.7318807768</x:v>
      </x:c>
      <x:c r="E1290" s="7" t="str">
        <x:v>SYNTHETIC: seeded teaching dataset; not observed market data</x:v>
      </x:c>
      <x:c r="F1290" s="7" t="n">
        <x:v>46266</x:v>
      </x:c>
    </x:row>
    <x:row r="1291" ht="22" customHeight="1">
      <x:c r="A1291" s="8" t="n">
        <x:v>46246</x:v>
      </x:c>
      <x:c r="B1291" s="7" t="str">
        <x:v>US_ETF</x:v>
      </x:c>
      <x:c r="C1291" s="7" t="n">
        <x:v>93.0982411965</x:v>
      </x:c>
      <x:c r="D1291" s="7" t="n">
        <x:v>93.0982411965</x:v>
      </x:c>
      <x:c r="E1291" s="7" t="str">
        <x:v>SYNTHETIC: seeded teaching dataset; not observed market data</x:v>
      </x:c>
      <x:c r="F1291" s="7" t="n">
        <x:v>46266</x:v>
      </x:c>
    </x:row>
    <x:row r="1292" ht="22" customHeight="1">
      <x:c r="A1292" s="8" t="n">
        <x:v>46247</x:v>
      </x:c>
      <x:c r="B1292" s="7" t="str">
        <x:v>US_ETF</x:v>
      </x:c>
      <x:c r="C1292" s="7" t="n">
        <x:v>93.1109236962</x:v>
      </x:c>
      <x:c r="D1292" s="7" t="n">
        <x:v>93.1109236962</x:v>
      </x:c>
      <x:c r="E1292" s="7" t="str">
        <x:v>SYNTHETIC: seeded teaching dataset; not observed market data</x:v>
      </x:c>
      <x:c r="F1292" s="7" t="n">
        <x:v>46266</x:v>
      </x:c>
    </x:row>
    <x:row r="1293" ht="22" customHeight="1">
      <x:c r="A1293" s="8" t="n">
        <x:v>46248</x:v>
      </x:c>
      <x:c r="B1293" s="7" t="str">
        <x:v>US_ETF</x:v>
      </x:c>
      <x:c r="C1293" s="7" t="n">
        <x:v>93.3598548981</x:v>
      </x:c>
      <x:c r="D1293" s="7" t="n">
        <x:v>93.3598548981</x:v>
      </x:c>
      <x:c r="E1293" s="7" t="str">
        <x:v>SYNTHETIC: seeded teaching dataset; not observed market data</x:v>
      </x:c>
      <x:c r="F1293" s="7" t="n">
        <x:v>46266</x:v>
      </x:c>
    </x:row>
    <x:row r="1294" ht="22" customHeight="1">
      <x:c r="A1294" s="8" t="n">
        <x:v>46251</x:v>
      </x:c>
      <x:c r="B1294" s="7" t="str">
        <x:v>US_ETF</x:v>
      </x:c>
      <x:c r="C1294" s="7" t="n">
        <x:v>93.2523920222</x:v>
      </x:c>
      <x:c r="D1294" s="7" t="n">
        <x:v>93.2523920222</x:v>
      </x:c>
      <x:c r="E1294" s="7" t="str">
        <x:v>SYNTHETIC: seeded teaching dataset; not observed market data</x:v>
      </x:c>
      <x:c r="F1294" s="7" t="n">
        <x:v>46266</x:v>
      </x:c>
    </x:row>
    <x:row r="1295" ht="22" customHeight="1">
      <x:c r="A1295" s="8" t="n">
        <x:v>46252</x:v>
      </x:c>
      <x:c r="B1295" s="7" t="str">
        <x:v>US_ETF</x:v>
      </x:c>
      <x:c r="C1295" s="7" t="n">
        <x:v>93.664151691</x:v>
      </x:c>
      <x:c r="D1295" s="7" t="n">
        <x:v>93.664151691</x:v>
      </x:c>
      <x:c r="E1295" s="7" t="str">
        <x:v>SYNTHETIC: seeded teaching dataset; not observed market data</x:v>
      </x:c>
      <x:c r="F1295" s="7" t="n">
        <x:v>46266</x:v>
      </x:c>
    </x:row>
    <x:row r="1296" ht="22" customHeight="1">
      <x:c r="A1296" s="8" t="n">
        <x:v>46253</x:v>
      </x:c>
      <x:c r="B1296" s="7" t="str">
        <x:v>US_ETF</x:v>
      </x:c>
      <x:c r="C1296" s="7" t="n">
        <x:v>93.862368902</x:v>
      </x:c>
      <x:c r="D1296" s="7" t="n">
        <x:v>93.862368902</x:v>
      </x:c>
      <x:c r="E1296" s="7" t="str">
        <x:v>SYNTHETIC: seeded teaching dataset; not observed market data</x:v>
      </x:c>
      <x:c r="F1296" s="7" t="n">
        <x:v>46266</x:v>
      </x:c>
    </x:row>
    <x:row r="1297" ht="22" customHeight="1">
      <x:c r="A1297" s="8" t="n">
        <x:v>46254</x:v>
      </x:c>
      <x:c r="B1297" s="7" t="str">
        <x:v>US_ETF</x:v>
      </x:c>
      <x:c r="C1297" s="7" t="n">
        <x:v>94.3495096537</x:v>
      </x:c>
      <x:c r="D1297" s="7" t="n">
        <x:v>94.3495096537</x:v>
      </x:c>
      <x:c r="E1297" s="7" t="str">
        <x:v>SYNTHETIC: seeded teaching dataset; not observed market data</x:v>
      </x:c>
      <x:c r="F1297" s="7" t="n">
        <x:v>46266</x:v>
      </x:c>
    </x:row>
    <x:row r="1298" ht="22" customHeight="1">
      <x:c r="A1298" s="8" t="n">
        <x:v>46255</x:v>
      </x:c>
      <x:c r="B1298" s="7" t="str">
        <x:v>US_ETF</x:v>
      </x:c>
      <x:c r="C1298" s="7" t="n">
        <x:v>94.424624391</x:v>
      </x:c>
      <x:c r="D1298" s="7" t="n">
        <x:v>94.424624391</x:v>
      </x:c>
      <x:c r="E1298" s="7" t="str">
        <x:v>SYNTHETIC: seeded teaching dataset; not observed market data</x:v>
      </x:c>
      <x:c r="F1298" s="7" t="n">
        <x:v>46266</x:v>
      </x:c>
    </x:row>
    <x:row r="1299" ht="22" customHeight="1">
      <x:c r="A1299" s="8" t="n">
        <x:v>46258</x:v>
      </x:c>
      <x:c r="B1299" s="7" t="str">
        <x:v>US_ETF</x:v>
      </x:c>
      <x:c r="C1299" s="7" t="n">
        <x:v>94.8210671647</x:v>
      </x:c>
      <x:c r="D1299" s="7" t="n">
        <x:v>94.8210671647</x:v>
      </x:c>
      <x:c r="E1299" s="7" t="str">
        <x:v>SYNTHETIC: seeded teaching dataset; not observed market data</x:v>
      </x:c>
      <x:c r="F1299" s="7" t="n">
        <x:v>46266</x:v>
      </x:c>
    </x:row>
    <x:row r="1300" ht="22" customHeight="1">
      <x:c r="A1300" s="8" t="n">
        <x:v>46259</x:v>
      </x:c>
      <x:c r="B1300" s="7" t="str">
        <x:v>US_ETF</x:v>
      </x:c>
      <x:c r="C1300" s="7" t="n">
        <x:v>94.7509104968</x:v>
      </x:c>
      <x:c r="D1300" s="7" t="n">
        <x:v>94.7509104968</x:v>
      </x:c>
      <x:c r="E1300" s="7" t="str">
        <x:v>SYNTHETIC: seeded teaching dataset; not observed market data</x:v>
      </x:c>
      <x:c r="F1300" s="7" t="n">
        <x:v>46266</x:v>
      </x:c>
    </x:row>
    <x:row r="1301" ht="22" customHeight="1">
      <x:c r="A1301" s="8" t="n">
        <x:v>46260</x:v>
      </x:c>
      <x:c r="B1301" s="7" t="str">
        <x:v>US_ETF</x:v>
      </x:c>
      <x:c r="C1301" s="7" t="n">
        <x:v>94.8746002247</x:v>
      </x:c>
      <x:c r="D1301" s="7" t="n">
        <x:v>94.8746002247</x:v>
      </x:c>
      <x:c r="E1301" s="7" t="str">
        <x:v>SYNTHETIC: seeded teaching dataset; not observed market data</x:v>
      </x:c>
      <x:c r="F1301" s="7" t="n">
        <x:v>46266</x:v>
      </x:c>
    </x:row>
    <x:row r="1302" ht="22" customHeight="1">
      <x:c r="A1302" s="8" t="n">
        <x:v>46261</x:v>
      </x:c>
      <x:c r="B1302" s="7" t="str">
        <x:v>US_ETF</x:v>
      </x:c>
      <x:c r="C1302" s="7" t="n">
        <x:v>94.7129256189</x:v>
      </x:c>
      <x:c r="D1302" s="7" t="n">
        <x:v>94.7129256189</x:v>
      </x:c>
      <x:c r="E1302" s="7" t="str">
        <x:v>SYNTHETIC: seeded teaching dataset; not observed market data</x:v>
      </x:c>
      <x:c r="F1302" s="7" t="n">
        <x:v>46266</x:v>
      </x:c>
    </x:row>
    <x:row r="1303" ht="22" customHeight="1">
      <x:c r="A1303" s="8" t="n">
        <x:v>46262</x:v>
      </x:c>
      <x:c r="B1303" s="7" t="str">
        <x:v>US_ETF</x:v>
      </x:c>
      <x:c r="C1303" s="7" t="n">
        <x:v>94.4527979325</x:v>
      </x:c>
      <x:c r="D1303" s="7" t="n">
        <x:v>94.4527979325</x:v>
      </x:c>
      <x:c r="E1303" s="7" t="str">
        <x:v>SYNTHETIC: seeded teaching dataset; not observed market data</x:v>
      </x:c>
      <x:c r="F1303" s="7" t="n">
        <x:v>46266</x:v>
      </x:c>
    </x:row>
    <x:row r="1304" ht="22" customHeight="1">
      <x:c r="A1304" s="8" t="n">
        <x:v>46265</x:v>
      </x:c>
      <x:c r="B1304" s="7" t="str">
        <x:v>US_ETF</x:v>
      </x:c>
      <x:c r="C1304" s="7" t="n">
        <x:v>95</x:v>
      </x:c>
      <x:c r="D1304" s="7" t="n">
        <x:v>95</x:v>
      </x:c>
      <x:c r="E1304" s="7" t="str">
        <x:v>SYNTHETIC: seeded teaching dataset; not observed market data</x:v>
      </x:c>
      <x:c r="F1304" s="7" t="n">
        <x:v>46266</x:v>
      </x:c>
    </x:row>
  </x:sheetData>
  <x:pageMargins left="0.7" right="0.7" top="0.75" bottom="0.75" header="0.3" footer="0.3"/>
  <x:tableParts count="1">
    <x:tablePart xmlns:r="http://schemas.openxmlformats.org/officeDocument/2006/relationships" r:id="R5f1ae1710d184640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10" hidden="0" customWidth="1"/>
  </x:cols>
  <x:sheetData>
    <x:row r="1">
      <x:c r="A1" s="1"/>
      <x:c r="B1" s="1"/>
    </x:row>
    <x:row r="2">
      <x:c r="A2" s="2" t="str">
        <x:v>Daily risk notes</x:v>
      </x:c>
      <x:c r="B2" s="1"/>
    </x:row>
    <x:row r="3">
      <x:c r="A3" s="1" t="str">
        <x:v>2026-08-31 · CAD · Contains synthetic teaching data</x:v>
      </x:c>
      <x:c r="B3" s="1"/>
    </x:row>
    <x:row r="4">
      <x:c r="A4" s="1"/>
      <x:c r="B4" s="1"/>
    </x:row>
    <x:row r="5" ht="34" customHeight="1">
      <x:c r="A5" s="6" t="str">
        <x:v>Topic</x:v>
      </x:c>
      <x:c r="B5" s="6" t="str">
        <x:v>Method / assumption</x:v>
      </x:c>
    </x:row>
    <x:row r="6" ht="22" customHeight="1">
      <x:c r="A6" s="7" t="str">
        <x:v>Calibration window</x:v>
      </x:c>
      <x:c r="B6" s="7" t="str">
        <x:v>2025-09-12 to 2026-08-31</x:v>
      </x:c>
    </x:row>
    <x:row r="7" ht="22" customHeight="1">
      <x:c r="A7" s="7" t="str">
        <x:v>Loss convention</x:v>
      </x:c>
      <x:c r="B7" s="7" t="str">
        <x:v>Positive loss VaR/ES, positive gain P&amp;L; values in CAD</x:v>
      </x:c>
    </x:row>
    <x:row r="8" ht="22" customHeight="1">
      <x:c r="A8" s="7" t="str">
        <x:v>Historical / Monte Carlo</x:v>
      </x:c>
      <x:c r="B8" s="7" t="str">
        <x:v>Full bond and option repricing; instantaneous shocks, no carry</x:v>
      </x:c>
    </x:row>
    <x:row r="9" ht="22" customHeight="1">
      <x:c r="A9" s="7" t="str">
        <x:v>Covariance</x:v>
      </x:c>
      <x:c r="B9" s="7" t="str">
        <x:v>Synchronized sample covariance, ddof=1</x:v>
      </x:c>
    </x:row>
    <x:row r="10" ht="22" customHeight="1">
      <x:c r="A10" s="7" t="str">
        <x:v>Simulations</x:v>
      </x:c>
      <x:c r="B10" s="7" t="n">
        <x:v>10000</x:v>
      </x:c>
    </x:row>
    <x:row r="11" ht="22" customHeight="1">
      <x:c r="A11" s="7" t="str">
        <x:v>Random seed</x:v>
      </x:c>
      <x:c r="B11" s="7" t="n">
        <x:v>42</x:v>
      </x:c>
    </x:row>
    <x:row r="12" ht="22" customHeight="1">
      <x:c r="A12" s="7" t="str">
        <x:v>Performance</x:v>
      </x:c>
      <x:c r="B12" s="7" t="str">
        <x:v>Frozen-current-exposure hypothetical daily scenario returns</x:v>
      </x:c>
    </x:row>
    <x:row r="13" ht="22" customHeight="1">
      <x:c r="A13" s="7" t="str">
        <x:v>Attribution</x:v>
      </x:c>
      <x:c r="B13" s="7" t="str">
        <x:v>Average forward/reverse replacement paths; interactions allocated within drivers</x:v>
      </x:c>
    </x:row>
    <x:row r="14" ht="22" customHeight="1">
      <x:c r="A14" s="7" t="str">
        <x:v>Volatility floor hits</x:v>
      </x:c>
      <x:c r="B14" s="7" t="n">
        <x:v>0</x:v>
      </x:c>
    </x:row>
    <x:row r="15" ht="22" customHeight="1">
      <x:c r="A15" s="7" t="str">
        <x:v>Workbook refresh</x:v>
      </x:c>
      <x:c r="B15" s="7" t="str">
        <x:v>Risk analytics are Python snapshots; rerun the CLI to refresh.</x:v>
      </x:c>
    </x:row>
    <x:row r="16" ht="22" customHeight="1">
      <x:c r="A16" s="7" t="str">
        <x:v>Formula scope</x:v>
      </x:c>
      <x:c r="B16" s="7" t="str">
        <x:v>NAV, allocations and checks recalculate from Positions; VaR requires a new Python run.</x:v>
      </x:c>
    </x:row>
  </x:sheetData>
  <x:pageMargins left="0.7" right="0.7" top="0.75" bottom="0.75" header="0.3" footer="0.3"/>
  <x:tableParts count="1">
    <x:tablePart xmlns:r="http://schemas.openxmlformats.org/officeDocument/2006/relationships" r:id="Rffdd7d0810b7402c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24" hidden="0" customWidth="1"/>
    <x:col min="3" max="3" width="20" hidden="0" customWidth="1"/>
    <x:col min="4" max="4" width="18" hidden="0" customWidth="1"/>
    <x:col min="6" max="6" width="34" hidden="0" customWidth="1"/>
    <x:col min="7" max="7" width="24" hidden="0" customWidth="1"/>
  </x:cols>
  <x:sheetData>
    <x:row r="1">
      <x:c r="A1" s="1"/>
      <x:c r="B1" s="1"/>
      <x:c r="C1" s="1"/>
      <x:c r="D1" s="1"/>
    </x:row>
    <x:row r="2">
      <x:c r="A2" s="2" t="str">
        <x:v>Independent reconciliations</x:v>
      </x:c>
      <x:c r="B2" s="1"/>
      <x:c r="C2" s="1"/>
      <x:c r="D2" s="1"/>
    </x:row>
    <x:row r="3">
      <x:c r="A3" s="1" t="str">
        <x:v>2026-08-31 · CAD · Contains synthetic teaching data</x:v>
      </x:c>
      <x:c r="B3" s="1"/>
      <x:c r="C3" s="1"/>
      <x:c r="D3" s="1"/>
    </x:row>
    <x:row r="4">
      <x:c r="A4" s="1"/>
      <x:c r="B4" s="1"/>
      <x:c r="C4" s="1"/>
      <x:c r="D4" s="1"/>
    </x:row>
    <x:row r="5" ht="34" customHeight="1">
      <x:c r="A5" s="6" t="str">
        <x:v>Check</x:v>
      </x:c>
      <x:c r="B5" s="6" t="str">
        <x:v>Difference</x:v>
      </x:c>
      <x:c r="C5" s="6" t="str">
        <x:v>Tolerance</x:v>
      </x:c>
      <x:c r="D5" s="6" t="str">
        <x:v>Status</x:v>
      </x:c>
      <x:c r="F5" t="str">
        <x:v>Independent Python controls</x:v>
      </x:c>
      <x:c r="G5" t="str">
        <x:v>Value</x:v>
      </x:c>
    </x:row>
    <x:row r="6" ht="22" customHeight="1">
      <x:c r="A6" s="7" t="str">
        <x:v>NAV versus Python</x:v>
      </x:c>
      <x:c r="B6" s="16" t="n">
        <x:f>'Portfolio Summary'!B6-G6</x:f>
        <x:v>-0.000007420778274536133</x:v>
      </x:c>
      <x:c r="C6" s="7" t="n">
        <x:v>0.01</x:v>
      </x:c>
      <x:c r="D6" s="7" t="str">
        <x:f>IF(ABS(B6)&lt;=C6,"PASS","FAIL")</x:f>
        <x:v>PASS</x:v>
      </x:c>
      <x:c r="F6" t="str">
        <x:v>NAV</x:v>
      </x:c>
      <x:c r="G6" t="n">
        <x:v>101390515.86574927</x:v>
      </x:c>
    </x:row>
    <x:row r="7" ht="22" customHeight="1">
      <x:c r="A7" s="7" t="str">
        <x:v>Component sum versus VaR</x:v>
      </x:c>
      <x:c r="B7" s="16" t="n">
        <x:f>SUM('Risk Contribution'!B6:B13)-G7</x:f>
        <x:v>2.3283064365386963e-10</x:v>
      </x:c>
      <x:c r="C7" s="7" t="n">
        <x:v>0.01</x:v>
      </x:c>
      <x:c r="D7" s="7" t="str">
        <x:f>IF(ABS(B7)&lt;=C7,"PASS","FAIL")</x:f>
        <x:v>PASS</x:v>
      </x:c>
      <x:c r="F7" t="str">
        <x:v>99% parametric VaR</x:v>
      </x:c>
      <x:c r="G7" t="n">
        <x:v>1354973.8744495406</x:v>
      </x:c>
    </x:row>
    <x:row r="8" ht="22" customHeight="1">
      <x:c r="A8" s="7" t="str">
        <x:v>Attribution bridge</x:v>
      </x:c>
      <x:c r="B8" s="16" t="n">
        <x:f>'Risk Attribution'!F7-'Risk Attribution'!F6-SUM('Risk Attribution'!B6:B16)</x:f>
        <x:v>-1.2732925824820995e-11</x:v>
      </x:c>
      <x:c r="C8" s="7" t="n">
        <x:v>0.01</x:v>
      </x:c>
      <x:c r="D8" s="7" t="str">
        <x:f>IF(ABS(B8)&lt;=C8,"PASS","FAIL")</x:f>
        <x:v>PASS</x:v>
      </x:c>
    </x:row>
    <x:row r="9" ht="22" customHeight="1">
      <x:c r="A9" s="7" t="str">
        <x:v>Position weights</x:v>
      </x:c>
      <x:c r="B9" s="16" t="n">
        <x:f>SUM('Positions'!G6:G13)-1</x:f>
        <x:v>0</x:v>
      </x:c>
      <x:c r="C9" s="7" t="n">
        <x:v>1e-10</x:v>
      </x:c>
      <x:c r="D9" s="7" t="str">
        <x:f>IF(ABS(B9)&lt;=C9,"PASS","FAIL")</x:f>
        <x:v>PASS</x:v>
      </x:c>
    </x:row>
  </x:sheetData>
  <x:conditionalFormatting sqref="D6:D9">
    <x:cfRule type="containsText" dxfId="2" priority="1" operator="containsText" text="FAIL"/>
  </x:conditionalFormatting>
  <x:pageMargins left="0.7" right="0.7" top="0.75" bottom="0.75" header="0.3" footer="0.3"/>
  <x:tableParts count="1">
    <x:tablePart xmlns:r="http://schemas.openxmlformats.org/officeDocument/2006/relationships" r:id="Rc9350b7f8a324d52"/>
  </x:tableParts>
</x:worksheet>
</file>